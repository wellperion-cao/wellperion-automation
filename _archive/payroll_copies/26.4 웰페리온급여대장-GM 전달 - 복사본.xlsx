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ky0\Desktop\"/>
    </mc:Choice>
  </mc:AlternateContent>
  <bookViews>
    <workbookView xWindow="-120" yWindow="-120" windowWidth="29040" windowHeight="15720"/>
  </bookViews>
  <sheets>
    <sheet name="26.4월기준" sheetId="3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8" i="31" l="1"/>
  <c r="J28" i="31"/>
  <c r="N28" i="31" s="1"/>
  <c r="P28" i="31" s="1"/>
  <c r="AJ26" i="31"/>
  <c r="J26" i="31"/>
  <c r="N26" i="31" s="1"/>
  <c r="P26" i="31" s="1"/>
  <c r="AJ20" i="31"/>
  <c r="J20" i="31"/>
  <c r="N20" i="31" s="1"/>
  <c r="P20" i="31" s="1"/>
  <c r="O28" i="31" l="1"/>
  <c r="O26" i="31"/>
  <c r="O20" i="31"/>
  <c r="AI31" i="31"/>
  <c r="AH31" i="31"/>
  <c r="AG31" i="31"/>
  <c r="AF31" i="31"/>
  <c r="AE31" i="31"/>
  <c r="AD31" i="31"/>
  <c r="AC31" i="31"/>
  <c r="AI30" i="31"/>
  <c r="AH30" i="31"/>
  <c r="AG30" i="31"/>
  <c r="AF30" i="31"/>
  <c r="AE30" i="31"/>
  <c r="AD30" i="31"/>
  <c r="AC30" i="31"/>
  <c r="AA30" i="31"/>
  <c r="W30" i="31"/>
  <c r="V30" i="31"/>
  <c r="U30" i="31"/>
  <c r="T30" i="31"/>
  <c r="S30" i="31"/>
  <c r="R30" i="31"/>
  <c r="Q30" i="31"/>
  <c r="G30" i="31"/>
  <c r="AB21" i="31"/>
  <c r="AB29" i="31"/>
  <c r="AB27" i="31"/>
  <c r="AB25" i="31"/>
  <c r="AJ24" i="31"/>
  <c r="J24" i="31"/>
  <c r="N24" i="31" s="1"/>
  <c r="P24" i="31" s="1"/>
  <c r="AB23" i="31"/>
  <c r="AJ22" i="31"/>
  <c r="J22" i="31"/>
  <c r="N22" i="31" s="1"/>
  <c r="P22" i="31" s="1"/>
  <c r="AB19" i="31"/>
  <c r="AJ18" i="31"/>
  <c r="J18" i="31"/>
  <c r="N18" i="31" s="1"/>
  <c r="P18" i="31" s="1"/>
  <c r="AB17" i="31"/>
  <c r="AJ16" i="31"/>
  <c r="J16" i="31"/>
  <c r="N16" i="31" s="1"/>
  <c r="P16" i="31" s="1"/>
  <c r="AB15" i="31"/>
  <c r="AJ14" i="31"/>
  <c r="O14" i="31"/>
  <c r="Z14" i="31" s="1"/>
  <c r="J14" i="31"/>
  <c r="N14" i="31" s="1"/>
  <c r="AB13" i="31"/>
  <c r="AJ12" i="31"/>
  <c r="O12" i="31"/>
  <c r="Y12" i="31" s="1"/>
  <c r="N12" i="31"/>
  <c r="AB11" i="31"/>
  <c r="AJ10" i="31"/>
  <c r="O10" i="31"/>
  <c r="Y10" i="31" s="1"/>
  <c r="J10" i="31"/>
  <c r="N10" i="31" s="1"/>
  <c r="AB9" i="31"/>
  <c r="AJ8" i="31"/>
  <c r="O8" i="31"/>
  <c r="Z8" i="31" s="1"/>
  <c r="J8" i="31"/>
  <c r="N8" i="31" s="1"/>
  <c r="AB7" i="31"/>
  <c r="AJ6" i="31"/>
  <c r="O6" i="31"/>
  <c r="Y6" i="31" s="1"/>
  <c r="J6" i="31"/>
  <c r="N6" i="31" s="1"/>
  <c r="Z28" i="31" l="1"/>
  <c r="Y28" i="31"/>
  <c r="X28" i="31"/>
  <c r="AB28" i="31" s="1"/>
  <c r="Z26" i="31"/>
  <c r="Y26" i="31"/>
  <c r="X26" i="31"/>
  <c r="Z20" i="31"/>
  <c r="Y20" i="31"/>
  <c r="X20" i="31"/>
  <c r="AJ30" i="31"/>
  <c r="X6" i="31"/>
  <c r="Z6" i="31"/>
  <c r="O16" i="31"/>
  <c r="O18" i="31"/>
  <c r="O22" i="31"/>
  <c r="O24" i="31"/>
  <c r="P30" i="31"/>
  <c r="X14" i="31"/>
  <c r="Y14" i="31"/>
  <c r="X8" i="31"/>
  <c r="Z10" i="31"/>
  <c r="Z12" i="31"/>
  <c r="AB12" i="31" s="1"/>
  <c r="AJ13" i="31" s="1"/>
  <c r="X10" i="31"/>
  <c r="Y8" i="31"/>
  <c r="AB26" i="31" l="1"/>
  <c r="AJ27" i="31" s="1"/>
  <c r="AB20" i="31"/>
  <c r="AJ21" i="31" s="1"/>
  <c r="AB14" i="31"/>
  <c r="AJ15" i="31" s="1"/>
  <c r="AB6" i="31"/>
  <c r="AJ7" i="31" s="1"/>
  <c r="AB8" i="31"/>
  <c r="AJ9" i="31" s="1"/>
  <c r="AJ29" i="31"/>
  <c r="Y22" i="31"/>
  <c r="X22" i="31"/>
  <c r="Z22" i="31"/>
  <c r="O30" i="31"/>
  <c r="X18" i="31"/>
  <c r="Y18" i="31"/>
  <c r="Z18" i="31"/>
  <c r="AB10" i="31"/>
  <c r="AJ11" i="31" s="1"/>
  <c r="Z16" i="31"/>
  <c r="Y16" i="31"/>
  <c r="X16" i="31"/>
  <c r="Z24" i="31"/>
  <c r="Y24" i="31"/>
  <c r="X24" i="31"/>
  <c r="AB24" i="31" l="1"/>
  <c r="AJ25" i="31" s="1"/>
  <c r="AB16" i="31"/>
  <c r="AJ17" i="31" s="1"/>
  <c r="Y30" i="31"/>
  <c r="AB18" i="31"/>
  <c r="AJ19" i="31" s="1"/>
  <c r="X30" i="31"/>
  <c r="Z30" i="31"/>
  <c r="AB22" i="31"/>
  <c r="AJ23" i="31" s="1"/>
  <c r="AJ31" i="31" l="1"/>
  <c r="AB30" i="31"/>
</calcChain>
</file>

<file path=xl/comments1.xml><?xml version="1.0" encoding="utf-8"?>
<comments xmlns="http://schemas.openxmlformats.org/spreadsheetml/2006/main">
  <authors>
    <author>tc={07B7DA59-FCF0-4E90-A6C4-5F77526E53F2}</author>
    <author>tc={2ABA08DF-CF7F-4851-A3C6-EDAA855CBA57}</author>
  </authors>
  <commentList>
    <comment ref="R5" authorId="0" shapeId="0">
      <text>
        <r>
          <rPr>
            <sz val="10"/>
            <rFont val="Arial"/>
            <family val="2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자가운전보조비20만원~~ 차량을 근로자본인명의로 소유또는 임차하여 업무에 활용한경우해당되며~~자동차등록증+운행일지첨부
</t>
        </r>
      </text>
    </comment>
    <comment ref="AA22" authorId="1" shapeId="0">
      <text>
        <r>
          <rPr>
            <sz val="10"/>
            <rFont val="Arial"/>
            <family val="2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연차1
일 공제함</t>
        </r>
      </text>
    </comment>
  </commentList>
</comments>
</file>

<file path=xl/sharedStrings.xml><?xml version="1.0" encoding="utf-8"?>
<sst xmlns="http://schemas.openxmlformats.org/spreadsheetml/2006/main" count="141" uniqueCount="125">
  <si>
    <t>담    당</t>
    <phoneticPr fontId="25" type="noConversion"/>
  </si>
  <si>
    <t>이    사</t>
    <phoneticPr fontId="25" type="noConversion"/>
  </si>
  <si>
    <t>대    표</t>
    <phoneticPr fontId="25" type="noConversion"/>
  </si>
  <si>
    <t>순번</t>
    <phoneticPr fontId="5" type="noConversion"/>
  </si>
  <si>
    <t>인적사항</t>
    <phoneticPr fontId="5" type="noConversion"/>
  </si>
  <si>
    <t>근  무  시  간   및   근  태  현 황</t>
    <phoneticPr fontId="5" type="noConversion"/>
  </si>
  <si>
    <t>기  본  급  여    및    제  수  당</t>
    <phoneticPr fontId="5" type="noConversion"/>
  </si>
  <si>
    <t>공    제       및       차    인     지    급    액</t>
    <phoneticPr fontId="25" type="noConversion"/>
  </si>
  <si>
    <t>성명</t>
  </si>
  <si>
    <t>주민등록번호</t>
    <phoneticPr fontId="5" type="noConversion"/>
  </si>
  <si>
    <t>주소</t>
    <phoneticPr fontId="5" type="noConversion"/>
  </si>
  <si>
    <t>부서</t>
    <phoneticPr fontId="5" type="noConversion"/>
  </si>
  <si>
    <t>입사일</t>
    <phoneticPr fontId="5" type="noConversion"/>
  </si>
  <si>
    <t>월급여</t>
    <phoneticPr fontId="5" type="noConversion"/>
  </si>
  <si>
    <t>기본</t>
    <phoneticPr fontId="5" type="noConversion"/>
  </si>
  <si>
    <t>고정휴일</t>
    <phoneticPr fontId="5" type="noConversion"/>
  </si>
  <si>
    <t>고정연장</t>
    <phoneticPr fontId="5" type="noConversion"/>
  </si>
  <si>
    <t>휴일연장</t>
    <phoneticPr fontId="5" type="noConversion"/>
  </si>
  <si>
    <t>연차</t>
    <phoneticPr fontId="5" type="noConversion"/>
  </si>
  <si>
    <t>합계</t>
    <phoneticPr fontId="5" type="noConversion"/>
  </si>
  <si>
    <t>통상시급</t>
    <phoneticPr fontId="5" type="noConversion"/>
  </si>
  <si>
    <t xml:space="preserve">기본급 </t>
    <phoneticPr fontId="5" type="noConversion"/>
  </si>
  <si>
    <t xml:space="preserve">식대 </t>
    <phoneticPr fontId="5" type="noConversion"/>
  </si>
  <si>
    <t xml:space="preserve">차량유지비 </t>
    <phoneticPr fontId="5" type="noConversion"/>
  </si>
  <si>
    <t>양육수당1</t>
    <phoneticPr fontId="5" type="noConversion"/>
  </si>
  <si>
    <t xml:space="preserve">직책수당 </t>
    <phoneticPr fontId="5" type="noConversion"/>
  </si>
  <si>
    <t>업무수당1및 인센티브</t>
    <phoneticPr fontId="5" type="noConversion"/>
  </si>
  <si>
    <t>자격증수당1</t>
    <phoneticPr fontId="5" type="noConversion"/>
  </si>
  <si>
    <t>기타수당1</t>
    <phoneticPr fontId="5" type="noConversion"/>
  </si>
  <si>
    <t xml:space="preserve">고정휴일 </t>
    <phoneticPr fontId="5" type="noConversion"/>
  </si>
  <si>
    <t xml:space="preserve">총지급액 </t>
    <phoneticPr fontId="5" type="noConversion"/>
  </si>
  <si>
    <t>소득세</t>
    <phoneticPr fontId="25" type="noConversion"/>
  </si>
  <si>
    <t>주민세</t>
    <phoneticPr fontId="25" type="noConversion"/>
  </si>
  <si>
    <t>국민연금4.5%</t>
    <phoneticPr fontId="25" type="noConversion"/>
  </si>
  <si>
    <t>건강보험3.545%</t>
    <phoneticPr fontId="25" type="noConversion"/>
  </si>
  <si>
    <t>장기요양보험0.455%</t>
    <phoneticPr fontId="25" type="noConversion"/>
  </si>
  <si>
    <t>고용보험0.9%</t>
    <phoneticPr fontId="25" type="noConversion"/>
  </si>
  <si>
    <t>대여금상환</t>
    <phoneticPr fontId="25" type="noConversion"/>
  </si>
  <si>
    <t>공제합계</t>
    <phoneticPr fontId="25" type="noConversion"/>
  </si>
  <si>
    <t>직급</t>
    <phoneticPr fontId="25" type="noConversion"/>
  </si>
  <si>
    <t>보험상실일</t>
    <phoneticPr fontId="25" type="noConversion"/>
  </si>
  <si>
    <t>가산</t>
    <phoneticPr fontId="5" type="noConversion"/>
  </si>
  <si>
    <t>비과세
(max 20만)</t>
    <phoneticPr fontId="34" type="noConversion"/>
  </si>
  <si>
    <t>비과세
(max 10만)</t>
    <phoneticPr fontId="34" type="noConversion"/>
  </si>
  <si>
    <t>연말정산소득세</t>
    <phoneticPr fontId="25" type="noConversion"/>
  </si>
  <si>
    <t>연말정산주민세</t>
    <phoneticPr fontId="25" type="noConversion"/>
  </si>
  <si>
    <t>국민연금보험정산</t>
    <phoneticPr fontId="25" type="noConversion"/>
  </si>
  <si>
    <t>건강보험정산</t>
    <phoneticPr fontId="25" type="noConversion"/>
  </si>
  <si>
    <t>장기요양보험정산</t>
    <phoneticPr fontId="25" type="noConversion"/>
  </si>
  <si>
    <t>고용보험정산</t>
    <phoneticPr fontId="25" type="noConversion"/>
  </si>
  <si>
    <t>월주차료</t>
    <phoneticPr fontId="25" type="noConversion"/>
  </si>
  <si>
    <t>차인지급액</t>
    <phoneticPr fontId="25" type="noConversion"/>
  </si>
  <si>
    <t>팀장</t>
    <phoneticPr fontId="5" type="noConversion"/>
  </si>
  <si>
    <t>이정헌</t>
    <phoneticPr fontId="5" type="noConversion"/>
  </si>
  <si>
    <t>590328-1019723</t>
    <phoneticPr fontId="25" type="noConversion"/>
  </si>
  <si>
    <t>서울시 강서구 초원로14길 25-1 (방화동)</t>
    <phoneticPr fontId="25" type="noConversion"/>
  </si>
  <si>
    <t>시설부</t>
    <phoneticPr fontId="5" type="noConversion"/>
  </si>
  <si>
    <t>소장</t>
    <phoneticPr fontId="25" type="noConversion"/>
  </si>
  <si>
    <t>김종현</t>
    <phoneticPr fontId="5" type="noConversion"/>
  </si>
  <si>
    <t>710510-1066915</t>
    <phoneticPr fontId="25" type="noConversion"/>
  </si>
  <si>
    <t>서울시 동작구 만양로19 신동아리버파크 103-2409</t>
    <phoneticPr fontId="25" type="noConversion"/>
  </si>
  <si>
    <t>차장</t>
    <phoneticPr fontId="25" type="noConversion"/>
  </si>
  <si>
    <t>주임</t>
    <phoneticPr fontId="5" type="noConversion"/>
  </si>
  <si>
    <t>우춘화</t>
    <phoneticPr fontId="25" type="noConversion"/>
  </si>
  <si>
    <t>600409-2721417</t>
    <phoneticPr fontId="25" type="noConversion"/>
  </si>
  <si>
    <t>서울시 용산구 서빙고로91가길 8-11</t>
    <phoneticPr fontId="25" type="noConversion"/>
  </si>
  <si>
    <t>천진석</t>
    <phoneticPr fontId="5" type="noConversion"/>
  </si>
  <si>
    <t>730218-1002621</t>
    <phoneticPr fontId="25" type="noConversion"/>
  </si>
  <si>
    <t>대구광역시 북구 팔거천동로104 102-711호(동천동,칠곡2차보성서한타운)</t>
    <phoneticPr fontId="25" type="noConversion"/>
  </si>
  <si>
    <t>황용석</t>
    <phoneticPr fontId="25" type="noConversion"/>
  </si>
  <si>
    <t>681117-1233317</t>
    <phoneticPr fontId="23" type="noConversion"/>
  </si>
  <si>
    <t>서울시 강남구 논현로67길 41-2 b3호</t>
    <phoneticPr fontId="23" type="noConversion"/>
  </si>
  <si>
    <t>010-6296-6811</t>
    <phoneticPr fontId="25" type="noConversion"/>
  </si>
  <si>
    <t>과장</t>
    <phoneticPr fontId="25" type="noConversion"/>
  </si>
  <si>
    <t xml:space="preserve">  ㈜   웰   페   리   온</t>
    <phoneticPr fontId="25" type="noConversion"/>
  </si>
  <si>
    <t xml:space="preserve"> </t>
    <phoneticPr fontId="25" type="noConversion"/>
  </si>
  <si>
    <t>761025-2811016</t>
    <phoneticPr fontId="25" type="noConversion"/>
  </si>
  <si>
    <t>서울시 용산구 우산단로4라길 27(보광동)</t>
    <phoneticPr fontId="25" type="noConversion"/>
  </si>
  <si>
    <t>박호균</t>
    <phoneticPr fontId="25" type="noConversion"/>
  </si>
  <si>
    <t>790119-1052811</t>
    <phoneticPr fontId="23" type="noConversion"/>
  </si>
  <si>
    <t>서울시 용산구 장문로141 106동503호(한남동,한남힐스테이트)</t>
    <phoneticPr fontId="23" type="noConversion"/>
  </si>
  <si>
    <t>고정야간</t>
    <phoneticPr fontId="5" type="noConversion"/>
  </si>
  <si>
    <t>휴일연장</t>
    <phoneticPr fontId="25" type="noConversion"/>
  </si>
  <si>
    <t>약  정  수  당</t>
    <phoneticPr fontId="5" type="noConversion"/>
  </si>
  <si>
    <t>법  정  수  당</t>
    <phoneticPr fontId="25" type="noConversion"/>
  </si>
  <si>
    <t>010-2253-0211</t>
    <phoneticPr fontId="25" type="noConversion"/>
  </si>
  <si>
    <t>010-4608-2754</t>
    <phoneticPr fontId="25" type="noConversion"/>
  </si>
  <si>
    <t>010-9937-9970</t>
    <phoneticPr fontId="25" type="noConversion"/>
  </si>
  <si>
    <t>010-9433-3021</t>
    <phoneticPr fontId="25" type="noConversion"/>
  </si>
  <si>
    <t>이연희</t>
    <phoneticPr fontId="25" type="noConversion"/>
  </si>
  <si>
    <t>010-7352-4408</t>
    <phoneticPr fontId="25" type="noConversion"/>
  </si>
  <si>
    <t>010-8999-2893</t>
    <phoneticPr fontId="25" type="noConversion"/>
  </si>
  <si>
    <t>920608-2001825</t>
    <phoneticPr fontId="23" type="noConversion"/>
  </si>
  <si>
    <t>서울시 용산구 독서당로34길 22 3동2층206호(한남동,시범아파트)</t>
    <phoneticPr fontId="23" type="noConversion"/>
  </si>
  <si>
    <t>010-8078-7188</t>
    <phoneticPr fontId="25" type="noConversion"/>
  </si>
  <si>
    <t>김유정</t>
    <phoneticPr fontId="25" type="noConversion"/>
  </si>
  <si>
    <t>640922-1046420</t>
    <phoneticPr fontId="25" type="noConversion"/>
  </si>
  <si>
    <t>서울시 성동구 청계천로12가길7</t>
    <phoneticPr fontId="25" type="noConversion"/>
  </si>
  <si>
    <t>010-2770-4828</t>
    <phoneticPr fontId="25" type="noConversion"/>
  </si>
  <si>
    <t>박남일</t>
    <phoneticPr fontId="25" type="noConversion"/>
  </si>
  <si>
    <t>661229-1069314</t>
    <phoneticPr fontId="25" type="noConversion"/>
  </si>
  <si>
    <t>서울시 노원구 섬발로229 3동810호</t>
    <phoneticPr fontId="25" type="noConversion"/>
  </si>
  <si>
    <t>010-3440-2231</t>
    <phoneticPr fontId="25" type="noConversion"/>
  </si>
  <si>
    <t>670727-2005619</t>
    <phoneticPr fontId="25" type="noConversion"/>
  </si>
  <si>
    <t>서울시 노원구 마들로3길 37 401동1106호(월계동,성원아파트)</t>
    <phoneticPr fontId="25" type="noConversion"/>
  </si>
  <si>
    <t>010-3325-9674</t>
    <phoneticPr fontId="25" type="noConversion"/>
  </si>
  <si>
    <t>반장</t>
    <phoneticPr fontId="5" type="noConversion"/>
  </si>
  <si>
    <t>지급일:2026.5.10</t>
    <phoneticPr fontId="25" type="noConversion"/>
  </si>
  <si>
    <t>750731-2046316</t>
    <phoneticPr fontId="25" type="noConversion"/>
  </si>
  <si>
    <t>서울시 은평구 진흥로16길 7-3 101호(녹번동,청영주택)</t>
    <phoneticPr fontId="25" type="noConversion"/>
  </si>
  <si>
    <t>010-3861-1810</t>
    <phoneticPr fontId="25" type="noConversion"/>
  </si>
  <si>
    <t>합   계(26명)</t>
    <phoneticPr fontId="5" type="noConversion"/>
  </si>
  <si>
    <t>2026년 4월     급 여 현 황(고정급 전단계)</t>
    <phoneticPr fontId="25" type="noConversion"/>
  </si>
  <si>
    <t>4월맴버쉽매출</t>
    <phoneticPr fontId="25" type="noConversion"/>
  </si>
  <si>
    <t>4월강습(레슨)매출</t>
    <phoneticPr fontId="25" type="noConversion"/>
  </si>
  <si>
    <t>탕청소용역료</t>
    <phoneticPr fontId="5" type="noConversion"/>
  </si>
  <si>
    <t>부가세별도</t>
    <phoneticPr fontId="5" type="noConversion"/>
  </si>
  <si>
    <t>김미영</t>
    <phoneticPr fontId="25" type="noConversion"/>
  </si>
  <si>
    <t>이경미</t>
    <phoneticPr fontId="25" type="noConversion"/>
  </si>
  <si>
    <t>미화(남)</t>
    <phoneticPr fontId="5" type="noConversion"/>
  </si>
  <si>
    <t>사우나&amp;외곽(남)</t>
    <phoneticPr fontId="5" type="noConversion"/>
  </si>
  <si>
    <t>사우나 관리(남)</t>
    <phoneticPr fontId="5" type="noConversion"/>
  </si>
  <si>
    <t>사우나 관리(여)</t>
    <phoneticPr fontId="5" type="noConversion"/>
  </si>
  <si>
    <t>사우나&amp;외곽(여)</t>
    <phoneticPr fontId="5" type="noConversion"/>
  </si>
  <si>
    <t>강신호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</si>
</sst>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;@"/>
    <numFmt numFmtId="177" formatCode="0_);[Red]\(0\)"/>
    <numFmt numFmtId="178" formatCode="_-* #,##0_-;\-* #,##0_-;_-* &quot;-&quot;??_-;_-@_-"/>
    <numFmt numFmtId="179" formatCode="0.0_);[Red]\(0.0\)"/>
    <numFmt numFmtId="180" formatCode="#,##0_ "/>
  </numFmts>
  <fonts count="44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b/>
      <sz val="8"/>
      <name val="돋움"/>
      <family val="3"/>
      <charset val="129"/>
    </font>
    <font>
      <b/>
      <sz val="9"/>
      <name val="돋움"/>
      <family val="3"/>
      <charset val="129"/>
    </font>
    <font>
      <b/>
      <sz val="8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b/>
      <sz val="8"/>
      <color rgb="FF0000FF"/>
      <name val="맑은 고딕"/>
      <family val="3"/>
      <charset val="129"/>
      <scheme val="minor"/>
    </font>
    <font>
      <b/>
      <sz val="8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2"/>
      <charset val="129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5EE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0"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0" fontId="35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138">
    <xf numFmtId="0" fontId="0" fillId="0" borderId="0" xfId="0"/>
    <xf numFmtId="0" fontId="26" fillId="0" borderId="0" xfId="0" applyFont="1"/>
    <xf numFmtId="42" fontId="27" fillId="0" borderId="15" xfId="65" applyNumberFormat="1" applyFont="1" applyBorder="1" applyAlignment="1">
      <alignment horizontal="center" vertical="center"/>
    </xf>
    <xf numFmtId="0" fontId="27" fillId="0" borderId="15" xfId="65" applyFont="1" applyBorder="1" applyAlignment="1">
      <alignment horizontal="center" vertical="center"/>
    </xf>
    <xf numFmtId="0" fontId="27" fillId="0" borderId="19" xfId="65" applyFont="1" applyBorder="1" applyAlignment="1">
      <alignment horizontal="center" vertical="center"/>
    </xf>
    <xf numFmtId="0" fontId="28" fillId="34" borderId="25" xfId="66" applyFont="1" applyFill="1" applyBorder="1" applyAlignment="1" applyProtection="1">
      <alignment horizontal="center" vertical="center"/>
      <protection locked="0"/>
    </xf>
    <xf numFmtId="0" fontId="28" fillId="34" borderId="26" xfId="66" applyFont="1" applyFill="1" applyBorder="1" applyAlignment="1" applyProtection="1">
      <alignment horizontal="center" vertical="center" wrapText="1"/>
      <protection locked="0"/>
    </xf>
    <xf numFmtId="14" fontId="28" fillId="34" borderId="26" xfId="66" applyNumberFormat="1" applyFont="1" applyFill="1" applyBorder="1" applyAlignment="1" applyProtection="1">
      <alignment horizontal="center" vertical="center" wrapText="1"/>
      <protection locked="0"/>
    </xf>
    <xf numFmtId="177" fontId="28" fillId="34" borderId="26" xfId="66" applyNumberFormat="1" applyFont="1" applyFill="1" applyBorder="1" applyAlignment="1" applyProtection="1">
      <alignment horizontal="center" vertical="center" wrapText="1"/>
      <protection locked="0"/>
    </xf>
    <xf numFmtId="41" fontId="28" fillId="34" borderId="26" xfId="66" applyNumberFormat="1" applyFont="1" applyFill="1" applyBorder="1" applyAlignment="1" applyProtection="1">
      <alignment horizontal="center" vertical="center" wrapText="1"/>
      <protection locked="0"/>
    </xf>
    <xf numFmtId="41" fontId="28" fillId="34" borderId="26" xfId="64" applyFont="1" applyFill="1" applyBorder="1" applyAlignment="1" applyProtection="1">
      <alignment horizontal="center" vertical="center" wrapText="1"/>
      <protection locked="0"/>
    </xf>
    <xf numFmtId="41" fontId="28" fillId="34" borderId="27" xfId="64" applyFont="1" applyFill="1" applyBorder="1" applyAlignment="1" applyProtection="1">
      <alignment horizontal="center" vertical="center" wrapText="1"/>
      <protection locked="0"/>
    </xf>
    <xf numFmtId="41" fontId="28" fillId="34" borderId="28" xfId="64" applyFont="1" applyFill="1" applyBorder="1" applyAlignment="1" applyProtection="1">
      <alignment horizontal="center" vertical="center" wrapText="1"/>
      <protection locked="0"/>
    </xf>
    <xf numFmtId="41" fontId="28" fillId="34" borderId="22" xfId="64" applyFont="1" applyFill="1" applyBorder="1" applyAlignment="1" applyProtection="1">
      <alignment horizontal="center" vertical="center" wrapText="1"/>
      <protection locked="0"/>
    </xf>
    <xf numFmtId="0" fontId="29" fillId="36" borderId="28" xfId="65" applyFont="1" applyFill="1" applyBorder="1" applyAlignment="1">
      <alignment horizontal="center" vertical="center"/>
    </xf>
    <xf numFmtId="0" fontId="29" fillId="36" borderId="23" xfId="65" applyFont="1" applyFill="1" applyBorder="1">
      <alignment vertical="center"/>
    </xf>
    <xf numFmtId="0" fontId="30" fillId="0" borderId="29" xfId="66" applyFont="1" applyBorder="1" applyAlignment="1" applyProtection="1">
      <alignment horizontal="center" vertical="center"/>
      <protection locked="0"/>
    </xf>
    <xf numFmtId="0" fontId="30" fillId="0" borderId="16" xfId="66" applyFont="1" applyBorder="1" applyAlignment="1" applyProtection="1">
      <alignment horizontal="center" vertical="center"/>
      <protection locked="0"/>
    </xf>
    <xf numFmtId="14" fontId="31" fillId="0" borderId="16" xfId="66" applyNumberFormat="1" applyFont="1" applyBorder="1" applyAlignment="1" applyProtection="1">
      <alignment horizontal="center" vertical="center"/>
      <protection locked="0"/>
    </xf>
    <xf numFmtId="177" fontId="28" fillId="0" borderId="16" xfId="66" applyNumberFormat="1" applyFont="1" applyBorder="1" applyAlignment="1" applyProtection="1">
      <alignment horizontal="center" vertical="center" wrapText="1"/>
      <protection locked="0"/>
    </xf>
    <xf numFmtId="177" fontId="28" fillId="37" borderId="16" xfId="66" applyNumberFormat="1" applyFont="1" applyFill="1" applyBorder="1" applyAlignment="1" applyProtection="1">
      <alignment horizontal="center" vertical="center" wrapText="1"/>
      <protection locked="0"/>
    </xf>
    <xf numFmtId="41" fontId="33" fillId="0" borderId="16" xfId="64" applyFont="1" applyFill="1" applyBorder="1" applyAlignment="1" applyProtection="1">
      <alignment horizontal="center" vertical="center"/>
      <protection locked="0"/>
    </xf>
    <xf numFmtId="41" fontId="30" fillId="0" borderId="16" xfId="64" applyFont="1" applyFill="1" applyBorder="1" applyAlignment="1" applyProtection="1">
      <alignment horizontal="center" vertical="center"/>
      <protection locked="0"/>
    </xf>
    <xf numFmtId="41" fontId="29" fillId="33" borderId="16" xfId="64" applyFont="1" applyFill="1" applyBorder="1" applyAlignment="1" applyProtection="1">
      <alignment horizontal="center" vertical="center" wrapText="1"/>
      <protection locked="0"/>
    </xf>
    <xf numFmtId="41" fontId="30" fillId="0" borderId="20" xfId="64" applyFont="1" applyFill="1" applyBorder="1" applyAlignment="1" applyProtection="1">
      <alignment horizontal="center" vertical="center"/>
      <protection locked="0"/>
    </xf>
    <xf numFmtId="0" fontId="29" fillId="36" borderId="12" xfId="65" applyFont="1" applyFill="1" applyBorder="1" applyAlignment="1">
      <alignment horizontal="left" vertical="center"/>
    </xf>
    <xf numFmtId="0" fontId="29" fillId="36" borderId="28" xfId="65" applyFont="1" applyFill="1" applyBorder="1">
      <alignment vertical="center"/>
    </xf>
    <xf numFmtId="0" fontId="29" fillId="36" borderId="28" xfId="65" applyFont="1" applyFill="1" applyBorder="1" applyAlignment="1">
      <alignment horizontal="left" vertical="center"/>
    </xf>
    <xf numFmtId="0" fontId="29" fillId="36" borderId="24" xfId="65" applyFont="1" applyFill="1" applyBorder="1" applyAlignment="1">
      <alignment horizontal="center" vertical="center"/>
    </xf>
    <xf numFmtId="0" fontId="39" fillId="0" borderId="0" xfId="0" applyFont="1"/>
    <xf numFmtId="0" fontId="40" fillId="0" borderId="0" xfId="0" applyFont="1"/>
    <xf numFmtId="178" fontId="28" fillId="38" borderId="15" xfId="64" applyNumberFormat="1" applyFont="1" applyFill="1" applyBorder="1" applyAlignment="1" applyProtection="1">
      <alignment vertical="center" shrinkToFit="1"/>
      <protection hidden="1"/>
    </xf>
    <xf numFmtId="180" fontId="28" fillId="0" borderId="37" xfId="68" applyNumberFormat="1" applyFont="1" applyBorder="1">
      <alignment vertical="center"/>
    </xf>
    <xf numFmtId="41" fontId="32" fillId="0" borderId="39" xfId="68" applyFont="1" applyBorder="1">
      <alignment vertical="center"/>
    </xf>
    <xf numFmtId="41" fontId="28" fillId="0" borderId="39" xfId="68" applyFont="1" applyBorder="1">
      <alignment vertical="center"/>
    </xf>
    <xf numFmtId="41" fontId="28" fillId="0" borderId="40" xfId="68" applyFont="1" applyBorder="1">
      <alignment vertical="center"/>
    </xf>
    <xf numFmtId="180" fontId="28" fillId="0" borderId="41" xfId="68" applyNumberFormat="1" applyFont="1" applyBorder="1">
      <alignment vertical="center"/>
    </xf>
    <xf numFmtId="41" fontId="28" fillId="0" borderId="42" xfId="68" applyFont="1" applyBorder="1">
      <alignment vertical="center"/>
    </xf>
    <xf numFmtId="41" fontId="28" fillId="0" borderId="43" xfId="68" applyFont="1" applyBorder="1">
      <alignment vertical="center"/>
    </xf>
    <xf numFmtId="41" fontId="32" fillId="0" borderId="44" xfId="68" applyFont="1" applyBorder="1">
      <alignment vertical="center"/>
    </xf>
    <xf numFmtId="41" fontId="32" fillId="0" borderId="45" xfId="68" applyFont="1" applyBorder="1">
      <alignment vertical="center"/>
    </xf>
    <xf numFmtId="41" fontId="28" fillId="0" borderId="45" xfId="68" applyFont="1" applyBorder="1">
      <alignment vertical="center"/>
    </xf>
    <xf numFmtId="41" fontId="28" fillId="0" borderId="46" xfId="68" applyFont="1" applyBorder="1">
      <alignment vertical="center"/>
    </xf>
    <xf numFmtId="41" fontId="28" fillId="0" borderId="47" xfId="68" applyFont="1" applyBorder="1">
      <alignment vertical="center"/>
    </xf>
    <xf numFmtId="41" fontId="32" fillId="0" borderId="47" xfId="68" applyFont="1" applyBorder="1">
      <alignment vertical="center"/>
    </xf>
    <xf numFmtId="41" fontId="28" fillId="0" borderId="48" xfId="68" applyFont="1" applyBorder="1">
      <alignment vertical="center"/>
    </xf>
    <xf numFmtId="41" fontId="28" fillId="36" borderId="50" xfId="65" applyNumberFormat="1" applyFont="1" applyFill="1" applyBorder="1" applyAlignment="1">
      <alignment horizontal="center" vertical="center"/>
    </xf>
    <xf numFmtId="41" fontId="27" fillId="34" borderId="20" xfId="66" applyNumberFormat="1" applyFont="1" applyFill="1" applyBorder="1" applyAlignment="1" applyProtection="1">
      <alignment horizontal="center" vertical="center" shrinkToFit="1"/>
      <protection locked="0"/>
    </xf>
    <xf numFmtId="41" fontId="27" fillId="34" borderId="24" xfId="66" applyNumberFormat="1" applyFont="1" applyFill="1" applyBorder="1" applyAlignment="1" applyProtection="1">
      <alignment horizontal="center" vertical="center" shrinkToFit="1"/>
      <protection locked="0"/>
    </xf>
    <xf numFmtId="41" fontId="30" fillId="39" borderId="33" xfId="64" applyFont="1" applyFill="1" applyBorder="1" applyAlignment="1" applyProtection="1">
      <alignment horizontal="center" vertical="center"/>
      <protection locked="0"/>
    </xf>
    <xf numFmtId="41" fontId="30" fillId="33" borderId="16" xfId="64" applyFont="1" applyFill="1" applyBorder="1" applyAlignment="1" applyProtection="1">
      <alignment horizontal="center" vertical="center" wrapText="1"/>
      <protection locked="0"/>
    </xf>
    <xf numFmtId="41" fontId="38" fillId="0" borderId="44" xfId="68" applyFont="1" applyBorder="1">
      <alignment vertical="center"/>
    </xf>
    <xf numFmtId="41" fontId="38" fillId="0" borderId="45" xfId="68" applyFont="1" applyBorder="1">
      <alignment vertical="center"/>
    </xf>
    <xf numFmtId="41" fontId="38" fillId="0" borderId="39" xfId="68" applyFont="1" applyBorder="1">
      <alignment vertical="center"/>
    </xf>
    <xf numFmtId="0" fontId="36" fillId="0" borderId="0" xfId="0" applyFont="1"/>
    <xf numFmtId="0" fontId="41" fillId="0" borderId="51" xfId="0" applyFont="1" applyBorder="1"/>
    <xf numFmtId="0" fontId="27" fillId="0" borderId="54" xfId="65" applyFont="1" applyBorder="1" applyAlignment="1">
      <alignment horizontal="center" vertical="center"/>
    </xf>
    <xf numFmtId="41" fontId="36" fillId="0" borderId="0" xfId="69" applyFont="1" applyAlignment="1"/>
    <xf numFmtId="0" fontId="36" fillId="33" borderId="15" xfId="67" applyFont="1" applyFill="1" applyBorder="1" applyAlignment="1" applyProtection="1">
      <alignment horizontal="left" vertical="center"/>
      <protection locked="0"/>
    </xf>
    <xf numFmtId="0" fontId="27" fillId="33" borderId="15" xfId="66" applyFont="1" applyFill="1" applyBorder="1" applyAlignment="1" applyProtection="1">
      <alignment horizontal="left" vertical="center"/>
      <protection locked="0"/>
    </xf>
    <xf numFmtId="0" fontId="42" fillId="33" borderId="15" xfId="66" applyFont="1" applyFill="1" applyBorder="1" applyAlignment="1" applyProtection="1">
      <alignment horizontal="center" vertical="center"/>
      <protection locked="0"/>
    </xf>
    <xf numFmtId="14" fontId="27" fillId="33" borderId="15" xfId="64" applyNumberFormat="1" applyFont="1" applyFill="1" applyBorder="1" applyAlignment="1" applyProtection="1">
      <alignment horizontal="center" vertical="center" shrinkToFit="1"/>
      <protection locked="0"/>
    </xf>
    <xf numFmtId="178" fontId="38" fillId="33" borderId="15" xfId="64" applyNumberFormat="1" applyFont="1" applyFill="1" applyBorder="1" applyAlignment="1" applyProtection="1">
      <alignment vertical="center" shrinkToFit="1"/>
      <protection locked="0"/>
    </xf>
    <xf numFmtId="177" fontId="36" fillId="33" borderId="15" xfId="64" applyNumberFormat="1" applyFont="1" applyFill="1" applyBorder="1" applyAlignment="1" applyProtection="1">
      <alignment horizontal="center" vertical="center" shrinkToFit="1"/>
      <protection locked="0"/>
    </xf>
    <xf numFmtId="179" fontId="36" fillId="33" borderId="15" xfId="64" applyNumberFormat="1" applyFont="1" applyFill="1" applyBorder="1" applyAlignment="1" applyProtection="1">
      <alignment horizontal="center" vertical="center" shrinkToFit="1"/>
      <protection locked="0"/>
    </xf>
    <xf numFmtId="177" fontId="36" fillId="33" borderId="15" xfId="64" applyNumberFormat="1" applyFont="1" applyFill="1" applyBorder="1" applyAlignment="1" applyProtection="1">
      <alignment horizontal="center" vertical="center" shrinkToFit="1"/>
      <protection hidden="1"/>
    </xf>
    <xf numFmtId="178" fontId="28" fillId="33" borderId="15" xfId="64" applyNumberFormat="1" applyFont="1" applyFill="1" applyBorder="1" applyAlignment="1" applyProtection="1">
      <alignment vertical="center" shrinkToFit="1"/>
      <protection hidden="1"/>
    </xf>
    <xf numFmtId="41" fontId="28" fillId="33" borderId="19" xfId="64" applyFont="1" applyFill="1" applyBorder="1" applyAlignment="1" applyProtection="1">
      <alignment vertical="center" shrinkToFit="1"/>
      <protection hidden="1"/>
    </xf>
    <xf numFmtId="41" fontId="28" fillId="33" borderId="15" xfId="64" applyFont="1" applyFill="1" applyBorder="1" applyAlignment="1" applyProtection="1">
      <alignment vertical="center" shrinkToFit="1"/>
      <protection locked="0"/>
    </xf>
    <xf numFmtId="41" fontId="28" fillId="33" borderId="15" xfId="64" applyFont="1" applyFill="1" applyBorder="1" applyAlignment="1" applyProtection="1">
      <alignment vertical="center" shrinkToFit="1"/>
      <protection hidden="1"/>
    </xf>
    <xf numFmtId="41" fontId="28" fillId="33" borderId="35" xfId="64" applyFont="1" applyFill="1" applyBorder="1" applyAlignment="1" applyProtection="1">
      <alignment vertical="center" shrinkToFit="1"/>
      <protection hidden="1"/>
    </xf>
    <xf numFmtId="41" fontId="28" fillId="33" borderId="36" xfId="64" applyFont="1" applyFill="1" applyBorder="1" applyAlignment="1" applyProtection="1">
      <alignment vertical="center" shrinkToFit="1"/>
      <protection hidden="1"/>
    </xf>
    <xf numFmtId="14" fontId="37" fillId="33" borderId="15" xfId="64" applyNumberFormat="1" applyFont="1" applyFill="1" applyBorder="1" applyAlignment="1" applyProtection="1">
      <alignment horizontal="center" vertical="center" shrinkToFit="1"/>
      <protection locked="0"/>
    </xf>
    <xf numFmtId="0" fontId="36" fillId="38" borderId="15" xfId="67" applyFont="1" applyFill="1" applyBorder="1" applyAlignment="1" applyProtection="1">
      <alignment horizontal="left" vertical="center"/>
      <protection locked="0"/>
    </xf>
    <xf numFmtId="0" fontId="27" fillId="38" borderId="15" xfId="66" applyFont="1" applyFill="1" applyBorder="1" applyAlignment="1" applyProtection="1">
      <alignment horizontal="left" vertical="center"/>
      <protection locked="0"/>
    </xf>
    <xf numFmtId="14" fontId="27" fillId="38" borderId="15" xfId="64" applyNumberFormat="1" applyFont="1" applyFill="1" applyBorder="1" applyAlignment="1" applyProtection="1">
      <alignment horizontal="center" vertical="center" shrinkToFit="1"/>
      <protection locked="0"/>
    </xf>
    <xf numFmtId="178" fontId="38" fillId="38" borderId="15" xfId="64" applyNumberFormat="1" applyFont="1" applyFill="1" applyBorder="1" applyAlignment="1" applyProtection="1">
      <alignment vertical="center" shrinkToFit="1"/>
      <protection locked="0"/>
    </xf>
    <xf numFmtId="177" fontId="36" fillId="38" borderId="15" xfId="64" applyNumberFormat="1" applyFont="1" applyFill="1" applyBorder="1" applyAlignment="1" applyProtection="1">
      <alignment horizontal="center" vertical="center" shrinkToFit="1"/>
      <protection locked="0"/>
    </xf>
    <xf numFmtId="179" fontId="36" fillId="38" borderId="15" xfId="64" applyNumberFormat="1" applyFont="1" applyFill="1" applyBorder="1" applyAlignment="1" applyProtection="1">
      <alignment horizontal="center" vertical="center" shrinkToFit="1"/>
      <protection locked="0"/>
    </xf>
    <xf numFmtId="177" fontId="36" fillId="38" borderId="15" xfId="64" applyNumberFormat="1" applyFont="1" applyFill="1" applyBorder="1" applyAlignment="1" applyProtection="1">
      <alignment horizontal="center" vertical="center" shrinkToFit="1"/>
      <protection hidden="1"/>
    </xf>
    <xf numFmtId="41" fontId="28" fillId="38" borderId="19" xfId="64" applyFont="1" applyFill="1" applyBorder="1" applyAlignment="1" applyProtection="1">
      <alignment vertical="center" shrinkToFit="1"/>
      <protection hidden="1"/>
    </xf>
    <xf numFmtId="41" fontId="28" fillId="38" borderId="15" xfId="64" applyFont="1" applyFill="1" applyBorder="1" applyAlignment="1" applyProtection="1">
      <alignment vertical="center" shrinkToFit="1"/>
      <protection locked="0"/>
    </xf>
    <xf numFmtId="41" fontId="28" fillId="38" borderId="15" xfId="64" applyFont="1" applyFill="1" applyBorder="1" applyAlignment="1" applyProtection="1">
      <alignment vertical="center" shrinkToFit="1"/>
      <protection hidden="1"/>
    </xf>
    <xf numFmtId="41" fontId="28" fillId="38" borderId="35" xfId="64" applyFont="1" applyFill="1" applyBorder="1" applyAlignment="1" applyProtection="1">
      <alignment vertical="center" shrinkToFit="1"/>
      <protection hidden="1"/>
    </xf>
    <xf numFmtId="41" fontId="28" fillId="38" borderId="36" xfId="64" applyFont="1" applyFill="1" applyBorder="1" applyAlignment="1" applyProtection="1">
      <alignment vertical="center" shrinkToFit="1"/>
      <protection hidden="1"/>
    </xf>
    <xf numFmtId="0" fontId="42" fillId="38" borderId="15" xfId="66" applyFont="1" applyFill="1" applyBorder="1" applyAlignment="1" applyProtection="1">
      <alignment horizontal="center" vertical="center"/>
      <protection locked="0"/>
    </xf>
    <xf numFmtId="14" fontId="37" fillId="38" borderId="15" xfId="64" applyNumberFormat="1" applyFont="1" applyFill="1" applyBorder="1" applyAlignment="1" applyProtection="1">
      <alignment horizontal="center" vertical="center" shrinkToFit="1"/>
      <protection locked="0"/>
    </xf>
    <xf numFmtId="0" fontId="42" fillId="33" borderId="19" xfId="66" applyFont="1" applyFill="1" applyBorder="1" applyAlignment="1" applyProtection="1">
      <alignment horizontal="center" vertical="center"/>
      <protection locked="0"/>
    </xf>
    <xf numFmtId="14" fontId="27" fillId="33" borderId="17" xfId="64" applyNumberFormat="1" applyFont="1" applyFill="1" applyBorder="1" applyAlignment="1" applyProtection="1">
      <alignment horizontal="center" vertical="center" shrinkToFit="1"/>
      <protection locked="0"/>
    </xf>
    <xf numFmtId="178" fontId="38" fillId="33" borderId="17" xfId="64" applyNumberFormat="1" applyFont="1" applyFill="1" applyBorder="1" applyAlignment="1" applyProtection="1">
      <alignment vertical="center" shrinkToFit="1"/>
      <protection locked="0"/>
    </xf>
    <xf numFmtId="177" fontId="36" fillId="33" borderId="17" xfId="64" applyNumberFormat="1" applyFont="1" applyFill="1" applyBorder="1" applyAlignment="1" applyProtection="1">
      <alignment horizontal="center" vertical="center" shrinkToFit="1"/>
      <protection locked="0"/>
    </xf>
    <xf numFmtId="179" fontId="36" fillId="33" borderId="17" xfId="64" applyNumberFormat="1" applyFont="1" applyFill="1" applyBorder="1" applyAlignment="1" applyProtection="1">
      <alignment horizontal="center" vertical="center" shrinkToFit="1"/>
      <protection locked="0"/>
    </xf>
    <xf numFmtId="177" fontId="36" fillId="33" borderId="17" xfId="64" applyNumberFormat="1" applyFont="1" applyFill="1" applyBorder="1" applyAlignment="1" applyProtection="1">
      <alignment horizontal="center" vertical="center" shrinkToFit="1"/>
      <protection hidden="1"/>
    </xf>
    <xf numFmtId="178" fontId="28" fillId="33" borderId="17" xfId="64" applyNumberFormat="1" applyFont="1" applyFill="1" applyBorder="1" applyAlignment="1" applyProtection="1">
      <alignment vertical="center" shrinkToFit="1"/>
      <protection hidden="1"/>
    </xf>
    <xf numFmtId="41" fontId="28" fillId="33" borderId="14" xfId="64" applyFont="1" applyFill="1" applyBorder="1" applyAlignment="1" applyProtection="1">
      <alignment vertical="center" shrinkToFit="1"/>
      <protection hidden="1"/>
    </xf>
    <xf numFmtId="41" fontId="28" fillId="33" borderId="17" xfId="64" applyFont="1" applyFill="1" applyBorder="1" applyAlignment="1" applyProtection="1">
      <alignment vertical="center" shrinkToFit="1"/>
      <protection locked="0"/>
    </xf>
    <xf numFmtId="41" fontId="28" fillId="33" borderId="17" xfId="64" applyFont="1" applyFill="1" applyBorder="1" applyAlignment="1" applyProtection="1">
      <alignment vertical="center" shrinkToFit="1"/>
      <protection hidden="1"/>
    </xf>
    <xf numFmtId="41" fontId="28" fillId="33" borderId="0" xfId="64" applyFont="1" applyFill="1" applyBorder="1" applyAlignment="1" applyProtection="1">
      <alignment vertical="center" shrinkToFit="1"/>
      <protection hidden="1"/>
    </xf>
    <xf numFmtId="0" fontId="36" fillId="33" borderId="13" xfId="67" applyFont="1" applyFill="1" applyBorder="1" applyAlignment="1" applyProtection="1">
      <alignment horizontal="left" vertical="center"/>
      <protection locked="0"/>
    </xf>
    <xf numFmtId="0" fontId="27" fillId="33" borderId="13" xfId="66" applyFont="1" applyFill="1" applyBorder="1" applyAlignment="1" applyProtection="1">
      <alignment horizontal="left" vertical="center"/>
      <protection locked="0"/>
    </xf>
    <xf numFmtId="0" fontId="43" fillId="33" borderId="0" xfId="0" applyFont="1" applyFill="1"/>
    <xf numFmtId="41" fontId="0" fillId="33" borderId="0" xfId="69" applyFont="1" applyFill="1" applyAlignment="1"/>
    <xf numFmtId="0" fontId="28" fillId="35" borderId="21" xfId="65" applyFont="1" applyFill="1" applyBorder="1" applyAlignment="1">
      <alignment horizontal="center" vertical="center"/>
    </xf>
    <xf numFmtId="0" fontId="28" fillId="35" borderId="22" xfId="65" applyFont="1" applyFill="1" applyBorder="1" applyAlignment="1">
      <alignment horizontal="center" vertical="center"/>
    </xf>
    <xf numFmtId="0" fontId="28" fillId="35" borderId="10" xfId="65" applyFont="1" applyFill="1" applyBorder="1" applyAlignment="1">
      <alignment horizontal="center" vertical="center"/>
    </xf>
    <xf numFmtId="0" fontId="28" fillId="35" borderId="23" xfId="65" applyFont="1" applyFill="1" applyBorder="1" applyAlignment="1">
      <alignment horizontal="center" vertical="center"/>
    </xf>
    <xf numFmtId="176" fontId="24" fillId="34" borderId="0" xfId="64" applyNumberFormat="1" applyFont="1" applyFill="1" applyBorder="1" applyAlignment="1" applyProtection="1">
      <alignment horizontal="center" vertical="center"/>
      <protection locked="0"/>
    </xf>
    <xf numFmtId="176" fontId="24" fillId="34" borderId="10" xfId="64" applyNumberFormat="1" applyFont="1" applyFill="1" applyBorder="1" applyAlignment="1" applyProtection="1">
      <alignment horizontal="center" vertical="center"/>
      <protection locked="0"/>
    </xf>
    <xf numFmtId="0" fontId="28" fillId="34" borderId="20" xfId="66" applyFont="1" applyFill="1" applyBorder="1" applyAlignment="1" applyProtection="1">
      <alignment horizontal="center" vertical="center" wrapText="1"/>
      <protection locked="0"/>
    </xf>
    <xf numFmtId="0" fontId="28" fillId="34" borderId="24" xfId="66" applyFont="1" applyFill="1" applyBorder="1" applyAlignment="1" applyProtection="1">
      <alignment horizontal="center" vertical="center" wrapText="1"/>
      <protection locked="0"/>
    </xf>
    <xf numFmtId="14" fontId="28" fillId="35" borderId="21" xfId="66" applyNumberFormat="1" applyFont="1" applyFill="1" applyBorder="1" applyAlignment="1" applyProtection="1">
      <alignment horizontal="center" vertical="center" wrapText="1"/>
      <protection locked="0"/>
    </xf>
    <xf numFmtId="14" fontId="28" fillId="35" borderId="22" xfId="66" applyNumberFormat="1" applyFont="1" applyFill="1" applyBorder="1" applyAlignment="1" applyProtection="1">
      <alignment horizontal="center" vertical="center" wrapText="1"/>
      <protection locked="0"/>
    </xf>
    <xf numFmtId="14" fontId="28" fillId="35" borderId="23" xfId="66" applyNumberFormat="1" applyFont="1" applyFill="1" applyBorder="1" applyAlignment="1" applyProtection="1">
      <alignment horizontal="center" vertical="center" wrapText="1"/>
      <protection locked="0"/>
    </xf>
    <xf numFmtId="41" fontId="28" fillId="35" borderId="21" xfId="66" applyNumberFormat="1" applyFont="1" applyFill="1" applyBorder="1" applyAlignment="1" applyProtection="1">
      <alignment horizontal="center" vertical="center" wrapText="1"/>
      <protection locked="0"/>
    </xf>
    <xf numFmtId="41" fontId="28" fillId="35" borderId="22" xfId="66" applyNumberFormat="1" applyFont="1" applyFill="1" applyBorder="1" applyAlignment="1" applyProtection="1">
      <alignment horizontal="center" vertical="center" wrapText="1"/>
      <protection locked="0"/>
    </xf>
    <xf numFmtId="177" fontId="28" fillId="35" borderId="21" xfId="66" applyNumberFormat="1" applyFont="1" applyFill="1" applyBorder="1" applyAlignment="1" applyProtection="1">
      <alignment horizontal="center" vertical="center" wrapText="1"/>
      <protection locked="0"/>
    </xf>
    <xf numFmtId="177" fontId="28" fillId="35" borderId="22" xfId="66" applyNumberFormat="1" applyFont="1" applyFill="1" applyBorder="1" applyAlignment="1" applyProtection="1">
      <alignment horizontal="center" vertical="center" wrapText="1"/>
      <protection locked="0"/>
    </xf>
    <xf numFmtId="41" fontId="30" fillId="38" borderId="30" xfId="64" applyFont="1" applyFill="1" applyBorder="1" applyAlignment="1" applyProtection="1">
      <alignment horizontal="center" vertical="center"/>
      <protection locked="0"/>
    </xf>
    <xf numFmtId="41" fontId="30" fillId="38" borderId="31" xfId="64" applyFont="1" applyFill="1" applyBorder="1" applyAlignment="1" applyProtection="1">
      <alignment horizontal="center" vertical="center"/>
      <protection locked="0"/>
    </xf>
    <xf numFmtId="41" fontId="30" fillId="38" borderId="32" xfId="64" applyFont="1" applyFill="1" applyBorder="1" applyAlignment="1" applyProtection="1">
      <alignment horizontal="center" vertical="center"/>
      <protection locked="0"/>
    </xf>
    <xf numFmtId="41" fontId="30" fillId="39" borderId="30" xfId="64" applyFont="1" applyFill="1" applyBorder="1" applyAlignment="1" applyProtection="1">
      <alignment horizontal="center" vertical="center"/>
      <protection locked="0"/>
    </xf>
    <xf numFmtId="41" fontId="30" fillId="39" borderId="31" xfId="64" applyFont="1" applyFill="1" applyBorder="1" applyAlignment="1" applyProtection="1">
      <alignment horizontal="center" vertical="center"/>
      <protection locked="0"/>
    </xf>
    <xf numFmtId="0" fontId="27" fillId="38" borderId="34" xfId="66" applyFont="1" applyFill="1" applyBorder="1" applyAlignment="1" applyProtection="1">
      <alignment horizontal="center" vertical="center"/>
      <protection locked="0"/>
    </xf>
    <xf numFmtId="0" fontId="27" fillId="38" borderId="38" xfId="66" applyFont="1" applyFill="1" applyBorder="1" applyAlignment="1" applyProtection="1">
      <alignment horizontal="center" vertical="center"/>
      <protection locked="0"/>
    </xf>
    <xf numFmtId="0" fontId="27" fillId="38" borderId="18" xfId="66" applyFont="1" applyFill="1" applyBorder="1" applyAlignment="1" applyProtection="1">
      <alignment horizontal="center" vertical="center"/>
      <protection locked="0"/>
    </xf>
    <xf numFmtId="0" fontId="27" fillId="38" borderId="13" xfId="66" applyFont="1" applyFill="1" applyBorder="1" applyAlignment="1" applyProtection="1">
      <alignment horizontal="center" vertical="center"/>
      <protection locked="0"/>
    </xf>
    <xf numFmtId="0" fontId="27" fillId="33" borderId="34" xfId="66" applyFont="1" applyFill="1" applyBorder="1" applyAlignment="1" applyProtection="1">
      <alignment horizontal="center" vertical="center"/>
      <protection locked="0"/>
    </xf>
    <xf numFmtId="0" fontId="27" fillId="33" borderId="38" xfId="66" applyFont="1" applyFill="1" applyBorder="1" applyAlignment="1" applyProtection="1">
      <alignment horizontal="center" vertical="center"/>
      <protection locked="0"/>
    </xf>
    <xf numFmtId="0" fontId="27" fillId="33" borderId="18" xfId="66" applyFont="1" applyFill="1" applyBorder="1" applyAlignment="1" applyProtection="1">
      <alignment horizontal="center" vertical="center"/>
      <protection locked="0"/>
    </xf>
    <xf numFmtId="0" fontId="27" fillId="33" borderId="13" xfId="66" applyFont="1" applyFill="1" applyBorder="1" applyAlignment="1" applyProtection="1">
      <alignment horizontal="center" vertical="center"/>
      <protection locked="0"/>
    </xf>
    <xf numFmtId="41" fontId="27" fillId="34" borderId="20" xfId="66" applyNumberFormat="1" applyFont="1" applyFill="1" applyBorder="1" applyAlignment="1" applyProtection="1">
      <alignment horizontal="center" vertical="center" shrinkToFit="1"/>
      <protection locked="0"/>
    </xf>
    <xf numFmtId="41" fontId="27" fillId="34" borderId="24" xfId="66" applyNumberFormat="1" applyFont="1" applyFill="1" applyBorder="1" applyAlignment="1" applyProtection="1">
      <alignment horizontal="center" vertical="center" shrinkToFit="1"/>
      <protection locked="0"/>
    </xf>
    <xf numFmtId="0" fontId="27" fillId="34" borderId="11" xfId="66" applyFont="1" applyFill="1" applyBorder="1" applyAlignment="1" applyProtection="1">
      <alignment horizontal="center" vertical="center"/>
      <protection locked="0"/>
    </xf>
    <xf numFmtId="0" fontId="27" fillId="34" borderId="49" xfId="66" applyFont="1" applyFill="1" applyBorder="1" applyAlignment="1" applyProtection="1">
      <alignment horizontal="center" vertical="center"/>
      <protection locked="0"/>
    </xf>
    <xf numFmtId="0" fontId="27" fillId="34" borderId="52" xfId="66" applyFont="1" applyFill="1" applyBorder="1" applyAlignment="1" applyProtection="1">
      <alignment horizontal="center" vertical="center"/>
      <protection locked="0"/>
    </xf>
    <xf numFmtId="0" fontId="27" fillId="34" borderId="12" xfId="66" applyFont="1" applyFill="1" applyBorder="1" applyAlignment="1" applyProtection="1">
      <alignment horizontal="center" vertical="center"/>
      <protection locked="0"/>
    </xf>
    <xf numFmtId="0" fontId="27" fillId="34" borderId="10" xfId="66" applyFont="1" applyFill="1" applyBorder="1" applyAlignment="1" applyProtection="1">
      <alignment horizontal="center" vertical="center"/>
      <protection locked="0"/>
    </xf>
    <xf numFmtId="0" fontId="27" fillId="34" borderId="53" xfId="66" applyFont="1" applyFill="1" applyBorder="1" applyAlignment="1" applyProtection="1">
      <alignment horizontal="center" vertical="center"/>
      <protection locked="0"/>
    </xf>
  </cellXfs>
  <cellStyles count="70">
    <cellStyle name="20% - 강조색1" xfId="18" builtinId="30" customBuiltin="1"/>
    <cellStyle name="20% - 강조색1 2" xfId="45"/>
    <cellStyle name="20% - 강조색2" xfId="22" builtinId="34" customBuiltin="1"/>
    <cellStyle name="20% - 강조색2 2" xfId="48"/>
    <cellStyle name="20% - 강조색3" xfId="26" builtinId="38" customBuiltin="1"/>
    <cellStyle name="20% - 강조색3 2" xfId="51"/>
    <cellStyle name="20% - 강조색4" xfId="30" builtinId="42" customBuiltin="1"/>
    <cellStyle name="20% - 강조색4 2" xfId="54"/>
    <cellStyle name="20% - 강조색5" xfId="34" builtinId="46" customBuiltin="1"/>
    <cellStyle name="20% - 강조색5 2" xfId="57"/>
    <cellStyle name="20% - 강조색6" xfId="38" builtinId="50" customBuiltin="1"/>
    <cellStyle name="20% - 강조색6 2" xfId="60"/>
    <cellStyle name="40% - 강조색1" xfId="19" builtinId="31" customBuiltin="1"/>
    <cellStyle name="40% - 강조색1 2" xfId="46"/>
    <cellStyle name="40% - 강조색2" xfId="23" builtinId="35" customBuiltin="1"/>
    <cellStyle name="40% - 강조색2 2" xfId="49"/>
    <cellStyle name="40% - 강조색3" xfId="27" builtinId="39" customBuiltin="1"/>
    <cellStyle name="40% - 강조색3 2" xfId="52"/>
    <cellStyle name="40% - 강조색4" xfId="31" builtinId="43" customBuiltin="1"/>
    <cellStyle name="40% - 강조색4 2" xfId="55"/>
    <cellStyle name="40% - 강조색5" xfId="35" builtinId="47" customBuiltin="1"/>
    <cellStyle name="40% - 강조색5 2" xfId="58"/>
    <cellStyle name="40% - 강조색6" xfId="39" builtinId="51" customBuiltin="1"/>
    <cellStyle name="40% - 강조색6 2" xfId="61"/>
    <cellStyle name="60% - 강조색1" xfId="20" builtinId="32" customBuiltin="1"/>
    <cellStyle name="60% - 강조색1 2" xfId="47"/>
    <cellStyle name="60% - 강조색2" xfId="24" builtinId="36" customBuiltin="1"/>
    <cellStyle name="60% - 강조색2 2" xfId="50"/>
    <cellStyle name="60% - 강조색3" xfId="28" builtinId="40" customBuiltin="1"/>
    <cellStyle name="60% - 강조색3 2" xfId="53"/>
    <cellStyle name="60% - 강조색4" xfId="32" builtinId="44" customBuiltin="1"/>
    <cellStyle name="60% - 강조색4 2" xfId="56"/>
    <cellStyle name="60% - 강조색5" xfId="36" builtinId="48" customBuiltin="1"/>
    <cellStyle name="60% - 강조색5 2" xfId="59"/>
    <cellStyle name="60% - 강조색6" xfId="40" builtinId="52" customBuiltin="1"/>
    <cellStyle name="60% - 강조색6 2" xfId="62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/>
    <cellStyle name="메모 3" xfId="44"/>
    <cellStyle name="보통" xfId="8" builtinId="28" customBuiltin="1"/>
    <cellStyle name="설명 텍스트" xfId="15" builtinId="53" customBuiltin="1"/>
    <cellStyle name="셀 확인" xfId="13" builtinId="23" customBuiltin="1"/>
    <cellStyle name="쉼표 [0]" xfId="69" builtinId="6"/>
    <cellStyle name="쉼표 [0] 2 2" xfId="64"/>
    <cellStyle name="쉼표 [0] 2 3" xfId="68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19" xfId="65"/>
    <cellStyle name="표준 2" xfId="41"/>
    <cellStyle name="표준 23 13" xfId="67"/>
    <cellStyle name="표준 3" xfId="43"/>
    <cellStyle name="표준 4" xfId="63"/>
    <cellStyle name="표준_근로내역반영급여대장" xfId="66"/>
  </cellStyles>
  <dxfs count="1">
    <dxf>
      <font>
        <color rgb="FFFF0000"/>
      </font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6-02-25T02:49:24.07" personId="{00000000-0000-0000-0000-000000000000}" id="{07B7DA59-FCF0-4E90-A6C4-5F77526E53F2}">
    <text xml:space="preserve">자가운전보조비20만원~~ 차량을 근로자본인명의로 소유또는 임차하여 업무에 활용한경우해당되며~~자동차등록증+운행일지첨부
</text>
  </threadedComment>
  <threadedComment ref="AA32" dT="2026-01-12T06:47:45.83" personId="{00000000-0000-0000-0000-000000000000}" id="{6CC54CC7-ACCE-43C2-8BEE-BD05C251161E}">
    <text>연차사용5일(26년도에서 차감정리하기로함)</text>
  </threadedComment>
  <threadedComment ref="AA48" dT="2026-04-07T00:48:49.65" personId="{00000000-0000-0000-0000-000000000000}" id="{2ABA08DF-CF7F-4851-A3C6-EDAA855CBA57}">
    <text>연차1
일 공제함</text>
  </threadedComment>
  <threadedComment ref="AA52" dT="2026-04-20T05:43:06.02" personId="{00000000-0000-0000-0000-000000000000}" id="{419B0B7E-2408-4BF0-AC0D-FC3919869A17}">
    <text>25.12.9-26.4.17까지 월차4일발생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33"/>
  <sheetViews>
    <sheetView tabSelected="1" workbookViewId="0">
      <selection activeCell="O28" sqref="O28"/>
    </sheetView>
  </sheetViews>
  <sheetFormatPr defaultRowHeight="12.75" x14ac:dyDescent="0.2"/>
  <cols>
    <col min="2" max="2" width="9.140625" customWidth="1"/>
    <col min="3" max="4" width="9.140625" hidden="1" customWidth="1"/>
    <col min="5" max="5" width="12.140625" customWidth="1"/>
    <col min="6" max="6" width="11.140625" bestFit="1" customWidth="1"/>
    <col min="7" max="7" width="11.7109375" customWidth="1"/>
    <col min="28" max="28" width="11.42578125" customWidth="1"/>
    <col min="29" max="29" width="14.85546875" bestFit="1" customWidth="1"/>
    <col min="30" max="30" width="14.140625" bestFit="1" customWidth="1"/>
    <col min="31" max="31" width="16.140625" bestFit="1" customWidth="1"/>
    <col min="32" max="32" width="15.140625" bestFit="1" customWidth="1"/>
    <col min="33" max="33" width="19" bestFit="1" customWidth="1"/>
    <col min="34" max="34" width="24.28515625" bestFit="1" customWidth="1"/>
    <col min="35" max="35" width="10.42578125" bestFit="1" customWidth="1"/>
    <col min="36" max="36" width="13.5703125" bestFit="1" customWidth="1"/>
  </cols>
  <sheetData>
    <row r="1" spans="1:37" ht="16.5" x14ac:dyDescent="0.3">
      <c r="A1" s="106" t="s">
        <v>112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X1" s="1"/>
      <c r="AB1" s="54" t="s">
        <v>113</v>
      </c>
      <c r="AC1" s="57">
        <v>256587800</v>
      </c>
      <c r="AE1" s="1"/>
      <c r="AF1" s="2" t="s">
        <v>0</v>
      </c>
      <c r="AG1" s="3" t="s">
        <v>1</v>
      </c>
      <c r="AH1" s="4" t="s">
        <v>2</v>
      </c>
      <c r="AI1" s="3"/>
    </row>
    <row r="2" spans="1:37" ht="17.25" thickBot="1" x14ac:dyDescent="0.3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X2" s="1"/>
      <c r="Y2" s="55" t="s">
        <v>107</v>
      </c>
      <c r="AB2" s="54" t="s">
        <v>114</v>
      </c>
      <c r="AC2" s="57">
        <v>242951591</v>
      </c>
      <c r="AE2" s="1"/>
      <c r="AF2" s="2"/>
      <c r="AG2" s="3"/>
      <c r="AH2" s="3"/>
      <c r="AI2" s="56"/>
    </row>
    <row r="3" spans="1:37" ht="13.5" thickBot="1" x14ac:dyDescent="0.25">
      <c r="A3" s="108" t="s">
        <v>3</v>
      </c>
      <c r="B3" s="110" t="s">
        <v>4</v>
      </c>
      <c r="C3" s="111"/>
      <c r="D3" s="111"/>
      <c r="E3" s="111"/>
      <c r="F3" s="112"/>
      <c r="G3" s="113" t="s">
        <v>5</v>
      </c>
      <c r="H3" s="114"/>
      <c r="I3" s="114"/>
      <c r="J3" s="114"/>
      <c r="K3" s="114"/>
      <c r="L3" s="114"/>
      <c r="M3" s="114"/>
      <c r="N3" s="114"/>
      <c r="O3" s="115" t="s">
        <v>6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02" t="s">
        <v>7</v>
      </c>
      <c r="AD3" s="103"/>
      <c r="AE3" s="103"/>
      <c r="AF3" s="103"/>
      <c r="AG3" s="103"/>
      <c r="AH3" s="103"/>
      <c r="AI3" s="104"/>
      <c r="AJ3" s="105"/>
    </row>
    <row r="4" spans="1:37" ht="36.75" thickBot="1" x14ac:dyDescent="0.25">
      <c r="A4" s="109"/>
      <c r="B4" s="5" t="s">
        <v>8</v>
      </c>
      <c r="C4" s="6" t="s">
        <v>9</v>
      </c>
      <c r="D4" s="6" t="s">
        <v>10</v>
      </c>
      <c r="E4" s="6" t="s">
        <v>11</v>
      </c>
      <c r="F4" s="7" t="s">
        <v>12</v>
      </c>
      <c r="G4" s="9" t="s">
        <v>13</v>
      </c>
      <c r="H4" s="8" t="s">
        <v>14</v>
      </c>
      <c r="I4" s="8" t="s">
        <v>16</v>
      </c>
      <c r="J4" s="8" t="s">
        <v>81</v>
      </c>
      <c r="K4" s="8" t="s">
        <v>15</v>
      </c>
      <c r="L4" s="8" t="s">
        <v>17</v>
      </c>
      <c r="M4" s="8" t="s">
        <v>18</v>
      </c>
      <c r="N4" s="8" t="s">
        <v>19</v>
      </c>
      <c r="O4" s="10" t="s">
        <v>20</v>
      </c>
      <c r="P4" s="10" t="s">
        <v>21</v>
      </c>
      <c r="Q4" s="10" t="s">
        <v>22</v>
      </c>
      <c r="R4" s="10" t="s">
        <v>23</v>
      </c>
      <c r="S4" s="10" t="s">
        <v>24</v>
      </c>
      <c r="T4" s="10" t="s">
        <v>25</v>
      </c>
      <c r="U4" s="10" t="s">
        <v>26</v>
      </c>
      <c r="V4" s="10" t="s">
        <v>27</v>
      </c>
      <c r="W4" s="10" t="s">
        <v>28</v>
      </c>
      <c r="X4" s="11" t="s">
        <v>81</v>
      </c>
      <c r="Y4" s="10" t="s">
        <v>29</v>
      </c>
      <c r="Z4" s="13" t="s">
        <v>82</v>
      </c>
      <c r="AA4" s="10" t="s">
        <v>18</v>
      </c>
      <c r="AB4" s="12" t="s">
        <v>30</v>
      </c>
      <c r="AC4" s="14" t="s">
        <v>31</v>
      </c>
      <c r="AD4" s="14" t="s">
        <v>32</v>
      </c>
      <c r="AE4" s="14" t="s">
        <v>33</v>
      </c>
      <c r="AF4" s="14" t="s">
        <v>34</v>
      </c>
      <c r="AG4" s="15" t="s">
        <v>35</v>
      </c>
      <c r="AH4" s="14" t="s">
        <v>36</v>
      </c>
      <c r="AI4" s="14" t="s">
        <v>37</v>
      </c>
      <c r="AJ4" s="14" t="s">
        <v>38</v>
      </c>
    </row>
    <row r="5" spans="1:37" ht="34.5" thickBot="1" x14ac:dyDescent="0.25">
      <c r="A5" s="16"/>
      <c r="B5" s="17"/>
      <c r="C5" s="17"/>
      <c r="D5" s="17"/>
      <c r="E5" s="17" t="s">
        <v>39</v>
      </c>
      <c r="F5" s="18" t="s">
        <v>40</v>
      </c>
      <c r="G5" s="19"/>
      <c r="H5" s="19"/>
      <c r="I5" s="19"/>
      <c r="J5" s="19"/>
      <c r="K5" s="19"/>
      <c r="L5" s="19"/>
      <c r="M5" s="19"/>
      <c r="N5" s="20" t="s">
        <v>41</v>
      </c>
      <c r="O5" s="21">
        <v>10030</v>
      </c>
      <c r="P5" s="22"/>
      <c r="Q5" s="23" t="s">
        <v>42</v>
      </c>
      <c r="R5" s="50" t="s">
        <v>42</v>
      </c>
      <c r="S5" s="23" t="s">
        <v>43</v>
      </c>
      <c r="T5" s="117" t="s">
        <v>83</v>
      </c>
      <c r="U5" s="118"/>
      <c r="V5" s="118"/>
      <c r="W5" s="119"/>
      <c r="X5" s="120" t="s">
        <v>84</v>
      </c>
      <c r="Y5" s="121"/>
      <c r="Z5" s="121"/>
      <c r="AA5" s="49"/>
      <c r="AB5" s="24"/>
      <c r="AC5" s="25" t="s">
        <v>44</v>
      </c>
      <c r="AD5" s="26" t="s">
        <v>45</v>
      </c>
      <c r="AE5" s="27" t="s">
        <v>46</v>
      </c>
      <c r="AF5" s="28" t="s">
        <v>47</v>
      </c>
      <c r="AG5" s="27" t="s">
        <v>48</v>
      </c>
      <c r="AH5" s="27" t="s">
        <v>49</v>
      </c>
      <c r="AI5" s="14" t="s">
        <v>50</v>
      </c>
      <c r="AJ5" s="14" t="s">
        <v>51</v>
      </c>
    </row>
    <row r="6" spans="1:37" ht="13.5" x14ac:dyDescent="0.2">
      <c r="A6" s="122">
        <v>15</v>
      </c>
      <c r="B6" s="124" t="s">
        <v>53</v>
      </c>
      <c r="C6" s="73" t="s">
        <v>54</v>
      </c>
      <c r="D6" s="74" t="s">
        <v>55</v>
      </c>
      <c r="E6" s="85" t="s">
        <v>56</v>
      </c>
      <c r="F6" s="75">
        <v>43435</v>
      </c>
      <c r="G6" s="76">
        <v>4425000</v>
      </c>
      <c r="H6" s="77">
        <v>209</v>
      </c>
      <c r="I6" s="77">
        <v>0</v>
      </c>
      <c r="J6" s="78">
        <f>0.5*5*4.345</f>
        <v>10.862499999999999</v>
      </c>
      <c r="K6" s="77">
        <v>16</v>
      </c>
      <c r="L6" s="78">
        <v>0</v>
      </c>
      <c r="M6" s="78">
        <v>0</v>
      </c>
      <c r="N6" s="79">
        <f>H6+(I6*1.5)+(J6*0.5)+(K6*1.5)+(L6*2)+M6</f>
        <v>238.43125000000001</v>
      </c>
      <c r="O6" s="31">
        <f>SUM(P6:W6)/$H6</f>
        <v>18558.808612440193</v>
      </c>
      <c r="P6" s="80">
        <v>2878791</v>
      </c>
      <c r="Q6" s="81">
        <v>200000</v>
      </c>
      <c r="R6" s="81">
        <v>0</v>
      </c>
      <c r="S6" s="81"/>
      <c r="T6" s="81">
        <v>400000</v>
      </c>
      <c r="U6" s="81">
        <v>0</v>
      </c>
      <c r="V6" s="81">
        <v>400000</v>
      </c>
      <c r="W6" s="81">
        <v>0</v>
      </c>
      <c r="X6" s="82">
        <f>O6*J6*0.5</f>
        <v>100797.52927631579</v>
      </c>
      <c r="Y6" s="83">
        <f>K6*O6*1.5</f>
        <v>445411.40669856465</v>
      </c>
      <c r="Z6" s="83">
        <f>L6*O6*2</f>
        <v>0</v>
      </c>
      <c r="AA6" s="82"/>
      <c r="AB6" s="84">
        <f t="shared" ref="AB6" si="0">SUM(P6:AA6)</f>
        <v>4424999.9359748801</v>
      </c>
      <c r="AC6" s="37">
        <v>252030</v>
      </c>
      <c r="AD6" s="37">
        <v>25200</v>
      </c>
      <c r="AE6" s="37">
        <v>0</v>
      </c>
      <c r="AF6" s="37">
        <v>147640</v>
      </c>
      <c r="AG6" s="37">
        <v>19400</v>
      </c>
      <c r="AH6" s="37">
        <v>36960</v>
      </c>
      <c r="AI6" s="38">
        <v>0</v>
      </c>
      <c r="AJ6" s="32">
        <f>SUM(AC6+AC7+AD6+AD7+AE6+AE7+AF6+AF7+AG6+AG7+AH6+AH7+AI6+AI7)</f>
        <v>586260</v>
      </c>
      <c r="AK6" s="29"/>
    </row>
    <row r="7" spans="1:37" ht="13.5" x14ac:dyDescent="0.2">
      <c r="A7" s="123"/>
      <c r="B7" s="125"/>
      <c r="C7" s="73"/>
      <c r="D7" s="74" t="s">
        <v>85</v>
      </c>
      <c r="E7" s="85" t="s">
        <v>57</v>
      </c>
      <c r="F7" s="75"/>
      <c r="G7" s="76"/>
      <c r="H7" s="77"/>
      <c r="I7" s="77"/>
      <c r="J7" s="78"/>
      <c r="K7" s="77"/>
      <c r="L7" s="78"/>
      <c r="M7" s="78"/>
      <c r="N7" s="79"/>
      <c r="O7" s="31"/>
      <c r="P7" s="80"/>
      <c r="Q7" s="81"/>
      <c r="R7" s="81"/>
      <c r="S7" s="81"/>
      <c r="T7" s="81"/>
      <c r="U7" s="81"/>
      <c r="V7" s="81"/>
      <c r="W7" s="81"/>
      <c r="X7" s="82"/>
      <c r="Y7" s="83"/>
      <c r="Z7" s="83"/>
      <c r="AA7" s="82"/>
      <c r="AB7" s="84">
        <f>SUM(P7:AA7)</f>
        <v>0</v>
      </c>
      <c r="AC7" s="33"/>
      <c r="AD7" s="33"/>
      <c r="AE7" s="34"/>
      <c r="AF7" s="53">
        <v>75900</v>
      </c>
      <c r="AG7" s="53">
        <v>9840</v>
      </c>
      <c r="AH7" s="53">
        <v>19290</v>
      </c>
      <c r="AI7" s="35">
        <v>0</v>
      </c>
      <c r="AJ7" s="36">
        <f>SUM(AB6-AJ6)</f>
        <v>3838739.9359748801</v>
      </c>
      <c r="AK7" s="29"/>
    </row>
    <row r="8" spans="1:37" ht="13.5" x14ac:dyDescent="0.2">
      <c r="A8" s="122">
        <v>16</v>
      </c>
      <c r="B8" s="124" t="s">
        <v>58</v>
      </c>
      <c r="C8" s="73" t="s">
        <v>59</v>
      </c>
      <c r="D8" s="74" t="s">
        <v>60</v>
      </c>
      <c r="E8" s="85" t="s">
        <v>56</v>
      </c>
      <c r="F8" s="75">
        <v>43435</v>
      </c>
      <c r="G8" s="76">
        <v>3595000</v>
      </c>
      <c r="H8" s="77">
        <v>209</v>
      </c>
      <c r="I8" s="77">
        <v>0</v>
      </c>
      <c r="J8" s="78">
        <f>0.5*5*4.345</f>
        <v>10.862499999999999</v>
      </c>
      <c r="K8" s="77">
        <v>16</v>
      </c>
      <c r="L8" s="78">
        <v>0</v>
      </c>
      <c r="M8" s="78">
        <v>0</v>
      </c>
      <c r="N8" s="79">
        <f>H8+(I8*1.5)+(J8*0.5)+(K8*1.5)+(L8*2)+M8</f>
        <v>238.43125000000001</v>
      </c>
      <c r="O8" s="31">
        <f>SUM(P8:V8)/$H8</f>
        <v>15077.722488038278</v>
      </c>
      <c r="P8" s="80">
        <v>2651244</v>
      </c>
      <c r="Q8" s="81">
        <v>200000</v>
      </c>
      <c r="R8" s="81">
        <v>0</v>
      </c>
      <c r="S8" s="81"/>
      <c r="T8" s="81">
        <v>200000</v>
      </c>
      <c r="U8" s="81"/>
      <c r="V8" s="81">
        <v>100000</v>
      </c>
      <c r="W8" s="81">
        <v>0</v>
      </c>
      <c r="X8" s="82">
        <f>O8*J8*0.5</f>
        <v>81890.880263157887</v>
      </c>
      <c r="Y8" s="83">
        <f>K8*O8*1.5</f>
        <v>361865.33971291868</v>
      </c>
      <c r="Z8" s="83">
        <f>L8*O8*2</f>
        <v>0</v>
      </c>
      <c r="AA8" s="82"/>
      <c r="AB8" s="84">
        <f>SUM(P8:AA8)</f>
        <v>3595000.2199760769</v>
      </c>
      <c r="AC8" s="37">
        <v>137000</v>
      </c>
      <c r="AD8" s="37">
        <v>13700</v>
      </c>
      <c r="AE8" s="37">
        <v>144160</v>
      </c>
      <c r="AF8" s="37">
        <v>115580</v>
      </c>
      <c r="AG8" s="37">
        <v>15180</v>
      </c>
      <c r="AH8" s="37">
        <v>28930</v>
      </c>
      <c r="AI8" s="38"/>
      <c r="AJ8" s="32">
        <f>SUM(AC8+AC9+AD8+AD9+AE8+AE9+AF8+AF9+AG8+AG9+AH8+AH9+AI8+AI9)</f>
        <v>564200</v>
      </c>
      <c r="AK8" s="29"/>
    </row>
    <row r="9" spans="1:37" ht="13.5" x14ac:dyDescent="0.2">
      <c r="A9" s="123"/>
      <c r="B9" s="125"/>
      <c r="C9" s="73"/>
      <c r="D9" s="74" t="s">
        <v>86</v>
      </c>
      <c r="E9" s="85" t="s">
        <v>61</v>
      </c>
      <c r="F9" s="75"/>
      <c r="G9" s="76"/>
      <c r="H9" s="77"/>
      <c r="I9" s="77"/>
      <c r="J9" s="78"/>
      <c r="K9" s="77"/>
      <c r="L9" s="78"/>
      <c r="M9" s="78"/>
      <c r="N9" s="79"/>
      <c r="O9" s="31"/>
      <c r="P9" s="80"/>
      <c r="Q9" s="81"/>
      <c r="R9" s="81"/>
      <c r="S9" s="81"/>
      <c r="T9" s="81"/>
      <c r="U9" s="81"/>
      <c r="V9" s="81"/>
      <c r="W9" s="81"/>
      <c r="X9" s="82"/>
      <c r="Y9" s="83"/>
      <c r="Z9" s="83"/>
      <c r="AA9" s="82"/>
      <c r="AB9" s="84">
        <f>SUM(P9:AA9)</f>
        <v>0</v>
      </c>
      <c r="AC9" s="33"/>
      <c r="AD9" s="33"/>
      <c r="AE9" s="34"/>
      <c r="AF9" s="53">
        <v>79290</v>
      </c>
      <c r="AG9" s="53">
        <v>10230</v>
      </c>
      <c r="AH9" s="34">
        <v>20130</v>
      </c>
      <c r="AI9" s="35">
        <v>0</v>
      </c>
      <c r="AJ9" s="36">
        <f>SUM(AB8-AJ8)</f>
        <v>3030800.2199760769</v>
      </c>
      <c r="AK9" s="29"/>
    </row>
    <row r="10" spans="1:37" ht="13.5" x14ac:dyDescent="0.2">
      <c r="A10" s="122">
        <v>17</v>
      </c>
      <c r="B10" s="124" t="s">
        <v>78</v>
      </c>
      <c r="C10" s="73" t="s">
        <v>79</v>
      </c>
      <c r="D10" s="74" t="s">
        <v>80</v>
      </c>
      <c r="E10" s="85" t="s">
        <v>56</v>
      </c>
      <c r="F10" s="75">
        <v>45720</v>
      </c>
      <c r="G10" s="76">
        <v>3100000</v>
      </c>
      <c r="H10" s="77">
        <v>209</v>
      </c>
      <c r="I10" s="77">
        <v>0</v>
      </c>
      <c r="J10" s="78">
        <f>0.5*5*4.345</f>
        <v>10.862499999999999</v>
      </c>
      <c r="K10" s="77">
        <v>16</v>
      </c>
      <c r="L10" s="78">
        <v>0</v>
      </c>
      <c r="M10" s="78">
        <v>0</v>
      </c>
      <c r="N10" s="79">
        <f>H10+(I10*1.5)+(J10*0.5)+(K10*1.5)+(L10*2)+M10</f>
        <v>238.43125000000001</v>
      </c>
      <c r="O10" s="31">
        <f>SUM(P10:W10)/$H10</f>
        <v>13001.650717703349</v>
      </c>
      <c r="P10" s="80">
        <v>2517345</v>
      </c>
      <c r="Q10" s="81">
        <v>200000</v>
      </c>
      <c r="R10" s="81"/>
      <c r="S10" s="81"/>
      <c r="T10" s="81">
        <v>0</v>
      </c>
      <c r="U10" s="81"/>
      <c r="V10" s="81"/>
      <c r="W10" s="81"/>
      <c r="X10" s="82">
        <f>O10*J10*0.5</f>
        <v>70615.215460526306</v>
      </c>
      <c r="Y10" s="83">
        <f>K10*O10*1.5</f>
        <v>312039.61722488038</v>
      </c>
      <c r="Z10" s="83">
        <f>L10*O10*2</f>
        <v>0</v>
      </c>
      <c r="AA10" s="82"/>
      <c r="AB10" s="84">
        <f>SUM(P10:AA10)</f>
        <v>3099999.8326854068</v>
      </c>
      <c r="AC10" s="37">
        <v>82900</v>
      </c>
      <c r="AD10" s="37">
        <v>8290</v>
      </c>
      <c r="AE10" s="37">
        <v>130620</v>
      </c>
      <c r="AF10" s="37">
        <v>101550</v>
      </c>
      <c r="AG10" s="37">
        <v>13340</v>
      </c>
      <c r="AH10" s="37">
        <v>25420</v>
      </c>
      <c r="AI10" s="38"/>
      <c r="AJ10" s="32">
        <f>SUM(AC10+AC11+AD10+AD11+AE10+AE11+AF10+AF11+AG10+AG11+AH10+AH11+AI10+AI11)</f>
        <v>420570</v>
      </c>
      <c r="AK10" s="29"/>
    </row>
    <row r="11" spans="1:37" ht="13.5" x14ac:dyDescent="0.2">
      <c r="A11" s="123"/>
      <c r="B11" s="125"/>
      <c r="C11" s="73"/>
      <c r="D11" s="74" t="s">
        <v>91</v>
      </c>
      <c r="E11" s="85" t="s">
        <v>73</v>
      </c>
      <c r="F11" s="86" t="s">
        <v>75</v>
      </c>
      <c r="G11" s="76"/>
      <c r="H11" s="77"/>
      <c r="I11" s="77"/>
      <c r="J11" s="78"/>
      <c r="K11" s="77"/>
      <c r="L11" s="78"/>
      <c r="M11" s="78"/>
      <c r="N11" s="79"/>
      <c r="O11" s="31"/>
      <c r="P11" s="80"/>
      <c r="Q11" s="81"/>
      <c r="R11" s="81"/>
      <c r="S11" s="81"/>
      <c r="T11" s="81"/>
      <c r="U11" s="81"/>
      <c r="V11" s="81"/>
      <c r="W11" s="81"/>
      <c r="X11" s="82"/>
      <c r="Y11" s="83"/>
      <c r="Z11" s="83"/>
      <c r="AA11" s="82"/>
      <c r="AB11" s="84">
        <f>SUM(P11:AA11)</f>
        <v>0</v>
      </c>
      <c r="AC11" s="33"/>
      <c r="AD11" s="33"/>
      <c r="AE11" s="34"/>
      <c r="AF11" s="34">
        <v>23940</v>
      </c>
      <c r="AG11" s="34">
        <v>3060</v>
      </c>
      <c r="AH11" s="34">
        <v>31450</v>
      </c>
      <c r="AI11" s="35"/>
      <c r="AJ11" s="36">
        <f>SUM(AB10-AJ10)</f>
        <v>2679429.8326854068</v>
      </c>
      <c r="AK11" s="29"/>
    </row>
    <row r="12" spans="1:37" ht="13.5" x14ac:dyDescent="0.2">
      <c r="A12" s="126">
        <v>18</v>
      </c>
      <c r="B12" s="128" t="s">
        <v>69</v>
      </c>
      <c r="C12" s="58" t="s">
        <v>70</v>
      </c>
      <c r="D12" s="59" t="s">
        <v>71</v>
      </c>
      <c r="E12" s="87" t="s">
        <v>120</v>
      </c>
      <c r="F12" s="61">
        <v>44927</v>
      </c>
      <c r="G12" s="62">
        <v>2980000</v>
      </c>
      <c r="H12" s="63">
        <v>209</v>
      </c>
      <c r="I12" s="63">
        <v>0</v>
      </c>
      <c r="J12" s="64">
        <v>10.862499999999999</v>
      </c>
      <c r="K12" s="63">
        <v>16</v>
      </c>
      <c r="L12" s="64">
        <v>0</v>
      </c>
      <c r="M12" s="64">
        <v>0</v>
      </c>
      <c r="N12" s="65">
        <f>H12+(I12*1.5)+(J12*0.5)+(K12*1.5)+(L12*2)+M12</f>
        <v>238.43125000000001</v>
      </c>
      <c r="O12" s="66">
        <f>SUM(P12:W12)/$H12</f>
        <v>12497.377990430621</v>
      </c>
      <c r="P12" s="67">
        <v>1861952</v>
      </c>
      <c r="Q12" s="68">
        <v>200000</v>
      </c>
      <c r="R12" s="68"/>
      <c r="S12" s="68"/>
      <c r="T12" s="68">
        <v>250000</v>
      </c>
      <c r="U12" s="68">
        <v>300000</v>
      </c>
      <c r="V12" s="68"/>
      <c r="W12" s="68">
        <v>0</v>
      </c>
      <c r="X12" s="69">
        <v>68112</v>
      </c>
      <c r="Y12" s="70">
        <f>K12*O12*1.5</f>
        <v>299937.07177033491</v>
      </c>
      <c r="Z12" s="70">
        <f>L12*O12*2</f>
        <v>0</v>
      </c>
      <c r="AA12" s="69"/>
      <c r="AB12" s="71">
        <f>SUM(P12:AA12)-1</f>
        <v>2980000.0717703351</v>
      </c>
      <c r="AC12" s="43">
        <v>72210</v>
      </c>
      <c r="AD12" s="43">
        <v>7220</v>
      </c>
      <c r="AE12" s="37">
        <v>110010</v>
      </c>
      <c r="AF12" s="37">
        <v>101130</v>
      </c>
      <c r="AG12" s="37">
        <v>13280</v>
      </c>
      <c r="AH12" s="37">
        <v>25310</v>
      </c>
      <c r="AI12" s="38"/>
      <c r="AJ12" s="32">
        <f>SUM(AC12+AC13+AD12+AD13+AE12+AE13+AF12+AF13+AG12+AG13+AH12+AH13+AI12+AI13)</f>
        <v>633450</v>
      </c>
      <c r="AK12" s="29"/>
    </row>
    <row r="13" spans="1:37" ht="13.5" x14ac:dyDescent="0.2">
      <c r="A13" s="127"/>
      <c r="B13" s="129"/>
      <c r="C13" s="58"/>
      <c r="D13" s="59" t="s">
        <v>72</v>
      </c>
      <c r="E13" s="60" t="s">
        <v>52</v>
      </c>
      <c r="F13" s="88"/>
      <c r="G13" s="89"/>
      <c r="H13" s="63"/>
      <c r="I13" s="90"/>
      <c r="J13" s="91"/>
      <c r="K13" s="90"/>
      <c r="L13" s="91"/>
      <c r="M13" s="91"/>
      <c r="N13" s="92"/>
      <c r="O13" s="93"/>
      <c r="P13" s="94"/>
      <c r="Q13" s="95"/>
      <c r="R13" s="95"/>
      <c r="S13" s="95"/>
      <c r="T13" s="95"/>
      <c r="U13" s="95"/>
      <c r="V13" s="95"/>
      <c r="W13" s="95"/>
      <c r="X13" s="96"/>
      <c r="Y13" s="69"/>
      <c r="Z13" s="97"/>
      <c r="AA13" s="96"/>
      <c r="AB13" s="71">
        <f t="shared" ref="AB13:AB29" si="1">SUM(P13:AA13)</f>
        <v>0</v>
      </c>
      <c r="AC13" s="39"/>
      <c r="AD13" s="40"/>
      <c r="AE13" s="41"/>
      <c r="AF13" s="41">
        <v>219990</v>
      </c>
      <c r="AG13" s="41">
        <v>28530</v>
      </c>
      <c r="AH13" s="41">
        <v>55770</v>
      </c>
      <c r="AI13" s="42"/>
      <c r="AJ13" s="36">
        <f>SUM(AB12-AJ12)</f>
        <v>2346550.0717703351</v>
      </c>
      <c r="AK13" s="29"/>
    </row>
    <row r="14" spans="1:37" ht="13.5" x14ac:dyDescent="0.2">
      <c r="A14" s="126">
        <v>19</v>
      </c>
      <c r="B14" s="128" t="s">
        <v>66</v>
      </c>
      <c r="C14" s="58" t="s">
        <v>67</v>
      </c>
      <c r="D14" s="59" t="s">
        <v>68</v>
      </c>
      <c r="E14" s="60" t="s">
        <v>121</v>
      </c>
      <c r="F14" s="61">
        <v>44440</v>
      </c>
      <c r="G14" s="62">
        <v>2530000</v>
      </c>
      <c r="H14" s="63">
        <v>209</v>
      </c>
      <c r="I14" s="63">
        <v>0</v>
      </c>
      <c r="J14" s="64">
        <f>0.5*5*4.345</f>
        <v>10.862499999999999</v>
      </c>
      <c r="K14" s="63">
        <v>16</v>
      </c>
      <c r="L14" s="64">
        <v>0</v>
      </c>
      <c r="M14" s="64">
        <v>0</v>
      </c>
      <c r="N14" s="65">
        <f>H14+(I14*1.5)+(J14*0.5)+(K14*1.5)+(L14*2)+M14</f>
        <v>238.43125000000001</v>
      </c>
      <c r="O14" s="66">
        <f>SUM(P14:T14)/$H14</f>
        <v>10611.023923444976</v>
      </c>
      <c r="P14" s="67">
        <v>2017704</v>
      </c>
      <c r="Q14" s="68">
        <v>200000</v>
      </c>
      <c r="R14" s="68"/>
      <c r="S14" s="68"/>
      <c r="T14" s="68"/>
      <c r="U14" s="68">
        <v>0</v>
      </c>
      <c r="V14" s="68"/>
      <c r="W14" s="68">
        <v>0</v>
      </c>
      <c r="X14" s="69">
        <f>O14*J14*0.5</f>
        <v>57631.123684210521</v>
      </c>
      <c r="Y14" s="70">
        <f>K14*O14*1.5</f>
        <v>254664.57416267943</v>
      </c>
      <c r="Z14" s="70">
        <f>L14*O14*2</f>
        <v>0</v>
      </c>
      <c r="AA14" s="69"/>
      <c r="AB14" s="71">
        <f t="shared" ref="AB14:AB21" si="2">SUM(P14:AA14)</f>
        <v>2529999.69784689</v>
      </c>
      <c r="AC14" s="37">
        <v>36630</v>
      </c>
      <c r="AD14" s="37">
        <v>3660</v>
      </c>
      <c r="AE14" s="37">
        <v>105680</v>
      </c>
      <c r="AF14" s="37">
        <v>84490</v>
      </c>
      <c r="AG14" s="37">
        <v>11100</v>
      </c>
      <c r="AH14" s="37">
        <v>21150</v>
      </c>
      <c r="AI14" s="38"/>
      <c r="AJ14" s="32">
        <f>SUM(AC14+AC15+AD14+AD15+AE14+AE15+AF14+AF15+AG14+AG15+AH14+AH15+AI14+AI15)</f>
        <v>316050</v>
      </c>
      <c r="AK14" s="29"/>
    </row>
    <row r="15" spans="1:37" ht="13.5" x14ac:dyDescent="0.2">
      <c r="A15" s="127"/>
      <c r="B15" s="129"/>
      <c r="C15" s="58"/>
      <c r="D15" s="59" t="s">
        <v>88</v>
      </c>
      <c r="E15" s="60" t="s">
        <v>62</v>
      </c>
      <c r="F15" s="61"/>
      <c r="G15" s="62"/>
      <c r="H15" s="63"/>
      <c r="I15" s="63"/>
      <c r="J15" s="64"/>
      <c r="K15" s="63"/>
      <c r="L15" s="64"/>
      <c r="M15" s="64"/>
      <c r="N15" s="65"/>
      <c r="O15" s="66"/>
      <c r="P15" s="67"/>
      <c r="Q15" s="68"/>
      <c r="R15" s="68"/>
      <c r="S15" s="68"/>
      <c r="T15" s="68"/>
      <c r="U15" s="68"/>
      <c r="V15" s="68"/>
      <c r="W15" s="68"/>
      <c r="X15" s="69"/>
      <c r="Y15" s="70"/>
      <c r="Z15" s="70"/>
      <c r="AA15" s="69"/>
      <c r="AB15" s="71">
        <f t="shared" si="2"/>
        <v>0</v>
      </c>
      <c r="AC15" s="44"/>
      <c r="AD15" s="44"/>
      <c r="AE15" s="43">
        <v>0</v>
      </c>
      <c r="AF15" s="43">
        <v>38520</v>
      </c>
      <c r="AG15" s="43">
        <v>5070</v>
      </c>
      <c r="AH15" s="43">
        <v>9750</v>
      </c>
      <c r="AI15" s="45"/>
      <c r="AJ15" s="36">
        <f>SUM(AB14-AJ14)</f>
        <v>2213949.69784689</v>
      </c>
      <c r="AK15" s="29"/>
    </row>
    <row r="16" spans="1:37" ht="13.5" x14ac:dyDescent="0.2">
      <c r="A16" s="126">
        <v>20</v>
      </c>
      <c r="B16" s="128" t="s">
        <v>95</v>
      </c>
      <c r="C16" s="59" t="s">
        <v>96</v>
      </c>
      <c r="D16" s="59" t="s">
        <v>97</v>
      </c>
      <c r="E16" s="60" t="s">
        <v>121</v>
      </c>
      <c r="F16" s="61">
        <v>45950</v>
      </c>
      <c r="G16" s="62">
        <v>2430000</v>
      </c>
      <c r="H16" s="63">
        <v>209</v>
      </c>
      <c r="I16" s="63">
        <v>0</v>
      </c>
      <c r="J16" s="64">
        <f>0.5*5*4.345</f>
        <v>10.862499999999999</v>
      </c>
      <c r="K16" s="63">
        <v>16</v>
      </c>
      <c r="L16" s="64">
        <v>0</v>
      </c>
      <c r="M16" s="64">
        <v>0</v>
      </c>
      <c r="N16" s="65">
        <f>H16+(I16*1.5)+(J16*0.5)+(K16*1.5)+(L16*2)+M16</f>
        <v>238.43125000000001</v>
      </c>
      <c r="O16" s="66">
        <f>SUM(P16:W16)/$H16</f>
        <v>10191.617080395292</v>
      </c>
      <c r="P16" s="67">
        <f>G16*H16/N16-SUM(Q16:W16)</f>
        <v>1930047.9698026162</v>
      </c>
      <c r="Q16" s="68">
        <v>200000</v>
      </c>
      <c r="R16" s="68"/>
      <c r="S16" s="68"/>
      <c r="T16" s="68">
        <v>0</v>
      </c>
      <c r="U16" s="68"/>
      <c r="V16" s="68"/>
      <c r="W16" s="68"/>
      <c r="X16" s="69">
        <f>O16*J16*0.5</f>
        <v>55353.220267896926</v>
      </c>
      <c r="Y16" s="70">
        <f>K16*O16*1.5</f>
        <v>244598.809929487</v>
      </c>
      <c r="Z16" s="70">
        <f>L16*O16*2</f>
        <v>0</v>
      </c>
      <c r="AA16" s="69"/>
      <c r="AB16" s="71">
        <f t="shared" si="2"/>
        <v>2430000</v>
      </c>
      <c r="AC16" s="37">
        <v>33340</v>
      </c>
      <c r="AD16" s="37">
        <v>3330</v>
      </c>
      <c r="AE16" s="37">
        <v>0</v>
      </c>
      <c r="AF16" s="37">
        <v>52600</v>
      </c>
      <c r="AG16" s="37">
        <v>6910</v>
      </c>
      <c r="AH16" s="37">
        <v>16500</v>
      </c>
      <c r="AI16" s="38"/>
      <c r="AJ16" s="32">
        <f>SUM(AC16+AC17+AD16+AD17+AE16+AE17+AF16+AF17+AG16+AG17+AH16+AH17+AI16+AI17)</f>
        <v>38860</v>
      </c>
      <c r="AK16" s="29"/>
    </row>
    <row r="17" spans="1:37" ht="13.5" x14ac:dyDescent="0.2">
      <c r="A17" s="127"/>
      <c r="B17" s="129"/>
      <c r="C17" s="59"/>
      <c r="D17" s="59" t="s">
        <v>98</v>
      </c>
      <c r="E17" s="60" t="s">
        <v>62</v>
      </c>
      <c r="F17" s="72"/>
      <c r="G17" s="62"/>
      <c r="H17" s="63"/>
      <c r="I17" s="63"/>
      <c r="J17" s="64"/>
      <c r="K17" s="63"/>
      <c r="L17" s="64"/>
      <c r="M17" s="64"/>
      <c r="N17" s="65"/>
      <c r="O17" s="66"/>
      <c r="P17" s="67"/>
      <c r="Q17" s="68"/>
      <c r="R17" s="68"/>
      <c r="S17" s="68"/>
      <c r="T17" s="68"/>
      <c r="U17" s="68"/>
      <c r="V17" s="68"/>
      <c r="W17" s="68"/>
      <c r="X17" s="69"/>
      <c r="Y17" s="70"/>
      <c r="Z17" s="70"/>
      <c r="AA17" s="69"/>
      <c r="AB17" s="71">
        <f t="shared" si="2"/>
        <v>0</v>
      </c>
      <c r="AC17" s="39"/>
      <c r="AD17" s="40"/>
      <c r="AE17" s="41"/>
      <c r="AF17" s="40">
        <v>-62860</v>
      </c>
      <c r="AG17" s="40">
        <v>-8140</v>
      </c>
      <c r="AH17" s="41">
        <v>-2820</v>
      </c>
      <c r="AI17" s="42"/>
      <c r="AJ17" s="36">
        <f>SUM(AB16-AJ16)</f>
        <v>2391140</v>
      </c>
      <c r="AK17" s="29"/>
    </row>
    <row r="18" spans="1:37" ht="13.5" x14ac:dyDescent="0.2">
      <c r="A18" s="126">
        <v>21</v>
      </c>
      <c r="B18" s="128" t="s">
        <v>99</v>
      </c>
      <c r="C18" s="59" t="s">
        <v>100</v>
      </c>
      <c r="D18" s="59" t="s">
        <v>101</v>
      </c>
      <c r="E18" s="60" t="s">
        <v>121</v>
      </c>
      <c r="F18" s="61">
        <v>45960</v>
      </c>
      <c r="G18" s="62">
        <v>2430000</v>
      </c>
      <c r="H18" s="63">
        <v>209</v>
      </c>
      <c r="I18" s="63">
        <v>0</v>
      </c>
      <c r="J18" s="64">
        <f>0.5*5*4.345</f>
        <v>10.862499999999999</v>
      </c>
      <c r="K18" s="63">
        <v>16</v>
      </c>
      <c r="L18" s="64">
        <v>0</v>
      </c>
      <c r="M18" s="64">
        <v>0</v>
      </c>
      <c r="N18" s="65">
        <f>H18+(I18*1.5)+(J18*0.5)+(K18*1.5)+(L18*2)+M18</f>
        <v>238.43125000000001</v>
      </c>
      <c r="O18" s="66">
        <f>SUM(P18:W18)/$H18</f>
        <v>10191.617080395292</v>
      </c>
      <c r="P18" s="67">
        <f>G18*H18/N18-SUM(Q18:W18)</f>
        <v>1930047.9698026162</v>
      </c>
      <c r="Q18" s="68">
        <v>200000</v>
      </c>
      <c r="R18" s="68"/>
      <c r="S18" s="68"/>
      <c r="T18" s="68">
        <v>0</v>
      </c>
      <c r="U18" s="68"/>
      <c r="V18" s="68"/>
      <c r="W18" s="68">
        <v>0</v>
      </c>
      <c r="X18" s="69">
        <f>O18*J18*0.5</f>
        <v>55353.220267896926</v>
      </c>
      <c r="Y18" s="70">
        <f>K18*O18*1.5</f>
        <v>244598.809929487</v>
      </c>
      <c r="Z18" s="70">
        <f>L18*O18*2</f>
        <v>0</v>
      </c>
      <c r="AA18" s="69"/>
      <c r="AB18" s="71">
        <f t="shared" si="2"/>
        <v>2430000</v>
      </c>
      <c r="AC18" s="37">
        <v>33340</v>
      </c>
      <c r="AD18" s="37">
        <v>3330</v>
      </c>
      <c r="AE18" s="37">
        <v>111620</v>
      </c>
      <c r="AF18" s="37">
        <v>53340</v>
      </c>
      <c r="AG18" s="37">
        <v>7000</v>
      </c>
      <c r="AH18" s="37">
        <v>19390</v>
      </c>
      <c r="AI18" s="38"/>
      <c r="AJ18" s="32">
        <f>SUM(AC18+AC19+AD18+AD19+AE18+AE19+AF18+AF19+AG18+AG19+AH18+AH19+AI18+AI19)</f>
        <v>156430</v>
      </c>
      <c r="AK18" s="29"/>
    </row>
    <row r="19" spans="1:37" ht="13.5" x14ac:dyDescent="0.2">
      <c r="A19" s="127"/>
      <c r="B19" s="129"/>
      <c r="C19" s="59"/>
      <c r="D19" s="59" t="s">
        <v>102</v>
      </c>
      <c r="E19" s="60" t="s">
        <v>62</v>
      </c>
      <c r="F19" s="72"/>
      <c r="G19" s="62"/>
      <c r="H19" s="63"/>
      <c r="I19" s="63"/>
      <c r="J19" s="64"/>
      <c r="K19" s="63"/>
      <c r="L19" s="64"/>
      <c r="M19" s="64"/>
      <c r="N19" s="65"/>
      <c r="O19" s="66"/>
      <c r="P19" s="67"/>
      <c r="Q19" s="68"/>
      <c r="R19" s="68"/>
      <c r="S19" s="68"/>
      <c r="T19" s="68"/>
      <c r="U19" s="68"/>
      <c r="V19" s="68"/>
      <c r="W19" s="68"/>
      <c r="X19" s="69"/>
      <c r="Y19" s="70"/>
      <c r="Z19" s="70"/>
      <c r="AA19" s="69"/>
      <c r="AB19" s="71">
        <f t="shared" si="2"/>
        <v>0</v>
      </c>
      <c r="AC19" s="51">
        <v>0</v>
      </c>
      <c r="AD19" s="52">
        <v>0</v>
      </c>
      <c r="AE19" s="41"/>
      <c r="AF19" s="40">
        <v>-61400</v>
      </c>
      <c r="AG19" s="40">
        <v>-7940</v>
      </c>
      <c r="AH19" s="41">
        <v>-2250</v>
      </c>
      <c r="AI19" s="42"/>
      <c r="AJ19" s="36">
        <f>SUM(AB18-AJ18)</f>
        <v>2273570</v>
      </c>
      <c r="AK19" s="29"/>
    </row>
    <row r="20" spans="1:37" ht="13.5" x14ac:dyDescent="0.2">
      <c r="A20" s="126">
        <v>22</v>
      </c>
      <c r="B20" s="128" t="s">
        <v>124</v>
      </c>
      <c r="C20" s="58" t="s">
        <v>92</v>
      </c>
      <c r="D20" s="59" t="s">
        <v>93</v>
      </c>
      <c r="E20" s="60" t="s">
        <v>119</v>
      </c>
      <c r="F20" s="61">
        <v>46182</v>
      </c>
      <c r="G20" s="62">
        <v>2430000</v>
      </c>
      <c r="H20" s="63">
        <v>209</v>
      </c>
      <c r="I20" s="63">
        <v>0</v>
      </c>
      <c r="J20" s="64">
        <f>0.5*5*4.345</f>
        <v>10.862499999999999</v>
      </c>
      <c r="K20" s="63">
        <v>16</v>
      </c>
      <c r="L20" s="64">
        <v>0</v>
      </c>
      <c r="M20" s="64">
        <v>0</v>
      </c>
      <c r="N20" s="65">
        <f>H20+(I20*1.5)+(J20*0.5)+(K20*1.5)+(L20*2)+M20</f>
        <v>238.43125000000001</v>
      </c>
      <c r="O20" s="66">
        <f>SUM(P20:W20)/$H20</f>
        <v>10191.617080395292</v>
      </c>
      <c r="P20" s="67">
        <f>G20*H20/N20-SUM(Q20:W20)</f>
        <v>1930047.9698026162</v>
      </c>
      <c r="Q20" s="68">
        <v>200000</v>
      </c>
      <c r="R20" s="68"/>
      <c r="S20" s="68"/>
      <c r="T20" s="68">
        <v>0</v>
      </c>
      <c r="U20" s="68"/>
      <c r="V20" s="68"/>
      <c r="W20" s="68">
        <v>0</v>
      </c>
      <c r="X20" s="69">
        <f>O20*J20*0.5</f>
        <v>55353.220267896926</v>
      </c>
      <c r="Y20" s="70">
        <f>K20*O20*1.5</f>
        <v>244598.809929487</v>
      </c>
      <c r="Z20" s="70">
        <f>L20*O20*2</f>
        <v>0</v>
      </c>
      <c r="AA20" s="69"/>
      <c r="AB20" s="71">
        <f t="shared" si="2"/>
        <v>2430000</v>
      </c>
      <c r="AC20" s="37">
        <v>33340</v>
      </c>
      <c r="AD20" s="37">
        <v>3330</v>
      </c>
      <c r="AE20" s="37">
        <v>111620</v>
      </c>
      <c r="AF20" s="37">
        <v>53340</v>
      </c>
      <c r="AG20" s="37">
        <v>7000</v>
      </c>
      <c r="AH20" s="37">
        <v>19390</v>
      </c>
      <c r="AI20" s="38"/>
      <c r="AJ20" s="32">
        <f>SUM(AC20+AC21+AD20+AD21+AE20+AE21+AF20+AF21+AG20+AG21+AH20+AH21+AI20+AI21)</f>
        <v>155530</v>
      </c>
    </row>
    <row r="21" spans="1:37" ht="13.5" x14ac:dyDescent="0.2">
      <c r="A21" s="127"/>
      <c r="B21" s="129"/>
      <c r="C21" s="59"/>
      <c r="D21" s="59" t="s">
        <v>94</v>
      </c>
      <c r="E21" s="60" t="s">
        <v>62</v>
      </c>
      <c r="F21" s="72"/>
      <c r="G21" s="62"/>
      <c r="H21" s="63"/>
      <c r="I21" s="63"/>
      <c r="J21" s="64"/>
      <c r="K21" s="63"/>
      <c r="L21" s="64"/>
      <c r="M21" s="64"/>
      <c r="N21" s="65"/>
      <c r="O21" s="66"/>
      <c r="P21" s="67"/>
      <c r="Q21" s="68"/>
      <c r="R21" s="68"/>
      <c r="S21" s="68"/>
      <c r="T21" s="68"/>
      <c r="U21" s="68"/>
      <c r="V21" s="68"/>
      <c r="W21" s="68"/>
      <c r="X21" s="69"/>
      <c r="Y21" s="70"/>
      <c r="Z21" s="70"/>
      <c r="AA21" s="69"/>
      <c r="AB21" s="71">
        <f t="shared" si="2"/>
        <v>0</v>
      </c>
      <c r="AC21" s="39">
        <v>-115020</v>
      </c>
      <c r="AD21" s="40">
        <v>-11490</v>
      </c>
      <c r="AE21" s="34"/>
      <c r="AF21" s="34">
        <v>39090</v>
      </c>
      <c r="AG21" s="34">
        <v>5090</v>
      </c>
      <c r="AH21" s="34">
        <v>9840</v>
      </c>
      <c r="AI21" s="35"/>
      <c r="AJ21" s="36">
        <f>SUM(AB20-AJ20)</f>
        <v>2274470</v>
      </c>
    </row>
    <row r="22" spans="1:37" ht="13.5" x14ac:dyDescent="0.2">
      <c r="A22" s="126">
        <v>23</v>
      </c>
      <c r="B22" s="128" t="s">
        <v>63</v>
      </c>
      <c r="C22" s="58" t="s">
        <v>64</v>
      </c>
      <c r="D22" s="59" t="s">
        <v>65</v>
      </c>
      <c r="E22" s="60" t="s">
        <v>122</v>
      </c>
      <c r="F22" s="61">
        <v>45536</v>
      </c>
      <c r="G22" s="62">
        <v>2450000</v>
      </c>
      <c r="H22" s="63">
        <v>209</v>
      </c>
      <c r="I22" s="63">
        <v>0</v>
      </c>
      <c r="J22" s="64">
        <f>0.5*5*4.345</f>
        <v>10.862499999999999</v>
      </c>
      <c r="K22" s="63">
        <v>16</v>
      </c>
      <c r="L22" s="64">
        <v>0</v>
      </c>
      <c r="M22" s="64">
        <v>0</v>
      </c>
      <c r="N22" s="65">
        <f>H22+(I22*1.5)+(J22*0.5)+(K22*1.5)+(L22*2)+M22</f>
        <v>238.43125000000001</v>
      </c>
      <c r="O22" s="66">
        <f>SUM(P22:T22)/$H22</f>
        <v>10275.498702456158</v>
      </c>
      <c r="P22" s="67">
        <f>G22*H22/N22-SUM(Q22:W22)</f>
        <v>1947579.2288133372</v>
      </c>
      <c r="Q22" s="68">
        <v>200000</v>
      </c>
      <c r="R22" s="68"/>
      <c r="S22" s="68"/>
      <c r="T22" s="68">
        <v>0</v>
      </c>
      <c r="U22" s="68">
        <v>0</v>
      </c>
      <c r="V22" s="68"/>
      <c r="W22" s="68">
        <v>0</v>
      </c>
      <c r="X22" s="69">
        <f>O22*J22*0.5</f>
        <v>55808.802327714999</v>
      </c>
      <c r="Y22" s="70">
        <f>K22*O22*1.5</f>
        <v>246611.9688589478</v>
      </c>
      <c r="Z22" s="70">
        <f>L22*O22*2</f>
        <v>0</v>
      </c>
      <c r="AA22" s="69">
        <v>-93780</v>
      </c>
      <c r="AB22" s="71">
        <f t="shared" si="1"/>
        <v>2356220</v>
      </c>
      <c r="AC22" s="43">
        <v>33980</v>
      </c>
      <c r="AD22" s="43">
        <v>3390</v>
      </c>
      <c r="AE22" s="37">
        <v>0</v>
      </c>
      <c r="AF22" s="37">
        <v>81320</v>
      </c>
      <c r="AG22" s="37">
        <v>10680</v>
      </c>
      <c r="AH22" s="37">
        <v>20350</v>
      </c>
      <c r="AI22" s="38"/>
      <c r="AJ22" s="32">
        <f>SUM(AC22+AC23+AD22+AD23+AE22+AE23+AF22+AF23+AG22+AG23+AH22+AH23+AI22+AI23)</f>
        <v>189920</v>
      </c>
      <c r="AK22" s="29"/>
    </row>
    <row r="23" spans="1:37" ht="13.5" x14ac:dyDescent="0.2">
      <c r="A23" s="127"/>
      <c r="B23" s="129"/>
      <c r="C23" s="58"/>
      <c r="D23" s="59" t="s">
        <v>87</v>
      </c>
      <c r="E23" s="60" t="s">
        <v>62</v>
      </c>
      <c r="F23" s="61"/>
      <c r="G23" s="62"/>
      <c r="H23" s="63"/>
      <c r="I23" s="63"/>
      <c r="J23" s="64"/>
      <c r="K23" s="63"/>
      <c r="L23" s="64"/>
      <c r="M23" s="64"/>
      <c r="N23" s="65"/>
      <c r="O23" s="66"/>
      <c r="P23" s="67"/>
      <c r="Q23" s="68"/>
      <c r="R23" s="68"/>
      <c r="S23" s="68"/>
      <c r="T23" s="68"/>
      <c r="U23" s="68"/>
      <c r="V23" s="68"/>
      <c r="W23" s="68"/>
      <c r="X23" s="69"/>
      <c r="Y23" s="70"/>
      <c r="Z23" s="70"/>
      <c r="AA23" s="69"/>
      <c r="AB23" s="71">
        <f t="shared" si="1"/>
        <v>0</v>
      </c>
      <c r="AC23" s="33"/>
      <c r="AD23" s="33"/>
      <c r="AE23" s="34"/>
      <c r="AF23" s="34">
        <v>29130</v>
      </c>
      <c r="AG23" s="34">
        <v>3750</v>
      </c>
      <c r="AH23" s="34">
        <v>7320</v>
      </c>
      <c r="AI23" s="35"/>
      <c r="AJ23" s="36">
        <f>SUM(AB22-AJ22)</f>
        <v>2166300</v>
      </c>
      <c r="AK23" s="29"/>
    </row>
    <row r="24" spans="1:37" ht="13.5" x14ac:dyDescent="0.2">
      <c r="A24" s="126">
        <v>24</v>
      </c>
      <c r="B24" s="128" t="s">
        <v>89</v>
      </c>
      <c r="C24" s="98" t="s">
        <v>76</v>
      </c>
      <c r="D24" s="99" t="s">
        <v>77</v>
      </c>
      <c r="E24" s="60" t="s">
        <v>123</v>
      </c>
      <c r="F24" s="61">
        <v>45710</v>
      </c>
      <c r="G24" s="62">
        <v>2580000</v>
      </c>
      <c r="H24" s="63">
        <v>209</v>
      </c>
      <c r="I24" s="63">
        <v>0</v>
      </c>
      <c r="J24" s="64">
        <f>0.5*5*4.345</f>
        <v>10.862499999999999</v>
      </c>
      <c r="K24" s="63">
        <v>16</v>
      </c>
      <c r="L24" s="64">
        <v>0</v>
      </c>
      <c r="M24" s="64">
        <v>0</v>
      </c>
      <c r="N24" s="65">
        <f>H24+(I24*1.5)+(J24*0.5)+(K24*1.5)+(L24*2)+M24</f>
        <v>238.43125000000001</v>
      </c>
      <c r="O24" s="66">
        <f>SUM(P24:W24)/$H24</f>
        <v>10820.729245851791</v>
      </c>
      <c r="P24" s="67">
        <f>G24*H24/N24-SUM(Q24:W24)</f>
        <v>1911532.4123830246</v>
      </c>
      <c r="Q24" s="68">
        <v>200000</v>
      </c>
      <c r="R24" s="68"/>
      <c r="S24" s="68"/>
      <c r="T24" s="68">
        <v>150000</v>
      </c>
      <c r="U24" s="68"/>
      <c r="V24" s="68"/>
      <c r="W24" s="68"/>
      <c r="X24" s="69">
        <f>O24*J24*0.5</f>
        <v>58770.085716532536</v>
      </c>
      <c r="Y24" s="70">
        <f>K24*O24*1.5</f>
        <v>259697.50190044299</v>
      </c>
      <c r="Z24" s="70">
        <f>L24*O24*2</f>
        <v>0</v>
      </c>
      <c r="AA24" s="69"/>
      <c r="AB24" s="71">
        <f t="shared" si="1"/>
        <v>2580000</v>
      </c>
      <c r="AC24" s="37">
        <v>38340</v>
      </c>
      <c r="AD24" s="37">
        <v>3830</v>
      </c>
      <c r="AE24" s="37">
        <v>102120</v>
      </c>
      <c r="AF24" s="37">
        <v>73190</v>
      </c>
      <c r="AG24" s="37">
        <v>9610</v>
      </c>
      <c r="AH24" s="37">
        <v>19700</v>
      </c>
      <c r="AI24" s="38"/>
      <c r="AJ24" s="32">
        <f>SUM(AC24+AC25+AD24+AD25+AE24+AE25+AF24+AF25+AG24+AG25+AH24+AH25+AI24+AI25)</f>
        <v>209310</v>
      </c>
      <c r="AK24" s="29"/>
    </row>
    <row r="25" spans="1:37" ht="13.5" x14ac:dyDescent="0.2">
      <c r="A25" s="127"/>
      <c r="B25" s="129"/>
      <c r="C25" s="58"/>
      <c r="D25" s="99" t="s">
        <v>90</v>
      </c>
      <c r="E25" s="60" t="s">
        <v>106</v>
      </c>
      <c r="F25" s="72"/>
      <c r="G25" s="62"/>
      <c r="H25" s="63"/>
      <c r="I25" s="63"/>
      <c r="J25" s="64"/>
      <c r="K25" s="63"/>
      <c r="L25" s="64"/>
      <c r="M25" s="64"/>
      <c r="N25" s="65"/>
      <c r="O25" s="66"/>
      <c r="P25" s="67"/>
      <c r="Q25" s="68"/>
      <c r="R25" s="68"/>
      <c r="S25" s="68"/>
      <c r="T25" s="68"/>
      <c r="U25" s="68"/>
      <c r="V25" s="68"/>
      <c r="W25" s="68"/>
      <c r="X25" s="69"/>
      <c r="Y25" s="70"/>
      <c r="Z25" s="70"/>
      <c r="AA25" s="69"/>
      <c r="AB25" s="71">
        <f t="shared" si="1"/>
        <v>0</v>
      </c>
      <c r="AC25" s="39"/>
      <c r="AD25" s="40"/>
      <c r="AE25" s="41"/>
      <c r="AF25" s="40">
        <v>-40300</v>
      </c>
      <c r="AG25" s="40">
        <v>-5200</v>
      </c>
      <c r="AH25" s="41">
        <v>8020</v>
      </c>
      <c r="AI25" s="42"/>
      <c r="AJ25" s="36">
        <f>SUM(AB24-AJ24)</f>
        <v>2370690</v>
      </c>
      <c r="AK25" s="29"/>
    </row>
    <row r="26" spans="1:37" ht="13.5" x14ac:dyDescent="0.2">
      <c r="A26" s="126">
        <v>25</v>
      </c>
      <c r="B26" s="128" t="s">
        <v>117</v>
      </c>
      <c r="C26" s="59" t="s">
        <v>103</v>
      </c>
      <c r="D26" s="59" t="s">
        <v>104</v>
      </c>
      <c r="E26" s="60" t="s">
        <v>122</v>
      </c>
      <c r="F26" s="61">
        <v>46168</v>
      </c>
      <c r="G26" s="62">
        <v>2430000</v>
      </c>
      <c r="H26" s="63">
        <v>209</v>
      </c>
      <c r="I26" s="63">
        <v>0</v>
      </c>
      <c r="J26" s="64">
        <f>0.5*5*4.345</f>
        <v>10.862499999999999</v>
      </c>
      <c r="K26" s="63">
        <v>16</v>
      </c>
      <c r="L26" s="64">
        <v>0</v>
      </c>
      <c r="M26" s="64">
        <v>0</v>
      </c>
      <c r="N26" s="65">
        <f>H26+(I26*1.5)+(J26*0.5)+(K26*1.5)+(L26*2)+M26</f>
        <v>238.43125000000001</v>
      </c>
      <c r="O26" s="66">
        <f>SUM(P26:W26)/$H26</f>
        <v>10191.617080395292</v>
      </c>
      <c r="P26" s="67">
        <f>G26*H26/N26-SUM(Q26:W26)</f>
        <v>1780047.9698026162</v>
      </c>
      <c r="Q26" s="68">
        <v>200000</v>
      </c>
      <c r="R26" s="68"/>
      <c r="S26" s="68"/>
      <c r="T26" s="68">
        <v>150000</v>
      </c>
      <c r="U26" s="68"/>
      <c r="V26" s="68"/>
      <c r="W26" s="68"/>
      <c r="X26" s="69">
        <f>O26*J26*0.5</f>
        <v>55353.220267896926</v>
      </c>
      <c r="Y26" s="70">
        <f>K26*O26*1.5</f>
        <v>244598.809929487</v>
      </c>
      <c r="Z26" s="70">
        <f>L26*O26*2</f>
        <v>0</v>
      </c>
      <c r="AA26" s="69"/>
      <c r="AB26" s="71">
        <f t="shared" ref="AB26" si="3">SUM(P26:AA26)</f>
        <v>2430000</v>
      </c>
      <c r="AC26" s="37">
        <v>38340</v>
      </c>
      <c r="AD26" s="37">
        <v>3830</v>
      </c>
      <c r="AE26" s="37">
        <v>102120</v>
      </c>
      <c r="AF26" s="37">
        <v>73190</v>
      </c>
      <c r="AG26" s="37">
        <v>9610</v>
      </c>
      <c r="AH26" s="37">
        <v>19700</v>
      </c>
      <c r="AI26" s="38"/>
      <c r="AJ26" s="32">
        <f>SUM(AC26+AC27+AD26+AD27+AE26+AE27+AF26+AF27+AG26+AG27+AH26+AH27+AI26+AI27)</f>
        <v>261140</v>
      </c>
      <c r="AK26" s="29"/>
    </row>
    <row r="27" spans="1:37" ht="13.5" x14ac:dyDescent="0.2">
      <c r="A27" s="127"/>
      <c r="B27" s="129"/>
      <c r="C27" s="59"/>
      <c r="D27" s="59" t="s">
        <v>105</v>
      </c>
      <c r="E27" s="60" t="s">
        <v>62</v>
      </c>
      <c r="F27" s="72"/>
      <c r="G27" s="62"/>
      <c r="H27" s="63"/>
      <c r="I27" s="63"/>
      <c r="J27" s="64"/>
      <c r="K27" s="63"/>
      <c r="L27" s="64"/>
      <c r="M27" s="64"/>
      <c r="N27" s="65"/>
      <c r="O27" s="66"/>
      <c r="P27" s="67"/>
      <c r="Q27" s="68"/>
      <c r="R27" s="68"/>
      <c r="S27" s="68"/>
      <c r="T27" s="68"/>
      <c r="U27" s="68"/>
      <c r="V27" s="68"/>
      <c r="W27" s="68"/>
      <c r="X27" s="69"/>
      <c r="Y27" s="70"/>
      <c r="Z27" s="70"/>
      <c r="AA27" s="69"/>
      <c r="AB27" s="71">
        <f t="shared" si="1"/>
        <v>0</v>
      </c>
      <c r="AC27" s="39"/>
      <c r="AD27" s="40"/>
      <c r="AE27" s="41"/>
      <c r="AF27" s="40"/>
      <c r="AG27" s="40"/>
      <c r="AH27" s="41">
        <v>14350</v>
      </c>
      <c r="AI27" s="42"/>
      <c r="AJ27" s="36">
        <f>SUM(AB26-AJ26)</f>
        <v>2168860</v>
      </c>
    </row>
    <row r="28" spans="1:37" ht="13.5" x14ac:dyDescent="0.2">
      <c r="A28" s="126">
        <v>26</v>
      </c>
      <c r="B28" s="128" t="s">
        <v>118</v>
      </c>
      <c r="C28" s="59" t="s">
        <v>108</v>
      </c>
      <c r="D28" s="59" t="s">
        <v>109</v>
      </c>
      <c r="E28" s="60" t="s">
        <v>122</v>
      </c>
      <c r="F28" s="61">
        <v>46174</v>
      </c>
      <c r="G28" s="62">
        <v>2430000</v>
      </c>
      <c r="H28" s="63">
        <v>209</v>
      </c>
      <c r="I28" s="63">
        <v>0</v>
      </c>
      <c r="J28" s="64">
        <f>0.5*5*4.345</f>
        <v>10.862499999999999</v>
      </c>
      <c r="K28" s="63">
        <v>16</v>
      </c>
      <c r="L28" s="64">
        <v>0</v>
      </c>
      <c r="M28" s="64">
        <v>0</v>
      </c>
      <c r="N28" s="65">
        <f>H28+(I28*1.5)+(J28*0.5)+(K28*1.5)+(L28*2)+M28</f>
        <v>238.43125000000001</v>
      </c>
      <c r="O28" s="66">
        <f>SUM(P28:W28)/$H28</f>
        <v>10191.617080395292</v>
      </c>
      <c r="P28" s="67">
        <f>G28*H28/N28-SUM(Q28:W28)</f>
        <v>1780047.9698026162</v>
      </c>
      <c r="Q28" s="68">
        <v>200000</v>
      </c>
      <c r="R28" s="68"/>
      <c r="S28" s="68"/>
      <c r="T28" s="68">
        <v>150000</v>
      </c>
      <c r="U28" s="68"/>
      <c r="V28" s="68"/>
      <c r="W28" s="68"/>
      <c r="X28" s="69">
        <f>O28*J28*0.5</f>
        <v>55353.220267896926</v>
      </c>
      <c r="Y28" s="70">
        <f>K28*O28*1.5</f>
        <v>244598.809929487</v>
      </c>
      <c r="Z28" s="70">
        <f>L28*O28*2</f>
        <v>0</v>
      </c>
      <c r="AA28" s="69"/>
      <c r="AB28" s="71">
        <f t="shared" ref="AB28" si="4">SUM(P28:AA28)</f>
        <v>2430000</v>
      </c>
      <c r="AC28" s="37">
        <v>38340</v>
      </c>
      <c r="AD28" s="37">
        <v>3830</v>
      </c>
      <c r="AE28" s="37">
        <v>102120</v>
      </c>
      <c r="AF28" s="37">
        <v>73190</v>
      </c>
      <c r="AG28" s="37">
        <v>9610</v>
      </c>
      <c r="AH28" s="37">
        <v>19700</v>
      </c>
      <c r="AI28" s="38"/>
      <c r="AJ28" s="32">
        <f>SUM(AC28+AC29+AD28+AD29+AE28+AE29+AF28+AF29+AG28+AG29+AH28+AH29+AI28+AI29)</f>
        <v>246790</v>
      </c>
    </row>
    <row r="29" spans="1:37" ht="14.25" thickBot="1" x14ac:dyDescent="0.25">
      <c r="A29" s="127"/>
      <c r="B29" s="129"/>
      <c r="C29" s="59"/>
      <c r="D29" s="59" t="s">
        <v>110</v>
      </c>
      <c r="E29" s="60" t="s">
        <v>62</v>
      </c>
      <c r="F29" s="72" t="s">
        <v>75</v>
      </c>
      <c r="G29" s="62"/>
      <c r="H29" s="63"/>
      <c r="I29" s="63"/>
      <c r="J29" s="64"/>
      <c r="K29" s="63"/>
      <c r="L29" s="64"/>
      <c r="M29" s="64"/>
      <c r="N29" s="65"/>
      <c r="O29" s="66"/>
      <c r="P29" s="67"/>
      <c r="Q29" s="68"/>
      <c r="R29" s="68"/>
      <c r="S29" s="68"/>
      <c r="T29" s="68"/>
      <c r="U29" s="68"/>
      <c r="V29" s="68"/>
      <c r="W29" s="68"/>
      <c r="X29" s="69"/>
      <c r="Y29" s="70"/>
      <c r="Z29" s="70"/>
      <c r="AA29" s="69"/>
      <c r="AB29" s="71">
        <f t="shared" si="1"/>
        <v>0</v>
      </c>
      <c r="AC29" s="39"/>
      <c r="AD29" s="40"/>
      <c r="AE29" s="41"/>
      <c r="AF29" s="40"/>
      <c r="AG29" s="40"/>
      <c r="AH29" s="41"/>
      <c r="AI29" s="42"/>
      <c r="AJ29" s="36">
        <f>SUM(AB28-AJ28)</f>
        <v>2183210</v>
      </c>
    </row>
    <row r="30" spans="1:37" ht="14.25" thickBot="1" x14ac:dyDescent="0.25">
      <c r="A30" s="132" t="s">
        <v>111</v>
      </c>
      <c r="B30" s="133"/>
      <c r="C30" s="133"/>
      <c r="D30" s="133"/>
      <c r="E30" s="133"/>
      <c r="F30" s="134"/>
      <c r="G30" s="130">
        <f>SUM(G6:G29)</f>
        <v>33810000</v>
      </c>
      <c r="H30" s="47"/>
      <c r="I30" s="47"/>
      <c r="J30" s="47"/>
      <c r="K30" s="47"/>
      <c r="L30" s="47"/>
      <c r="M30" s="47"/>
      <c r="N30" s="47"/>
      <c r="O30" s="130">
        <f>SUM(O6:O29)</f>
        <v>141800.89708234181</v>
      </c>
      <c r="P30" s="130">
        <f>SUM(P6:P29)</f>
        <v>25136387.490209438</v>
      </c>
      <c r="Q30" s="130">
        <f>SUM(Q6:Q29)</f>
        <v>2400000</v>
      </c>
      <c r="R30" s="130">
        <f>SUM(R6:R29)</f>
        <v>0</v>
      </c>
      <c r="S30" s="130">
        <f>SUM(S6:S29)</f>
        <v>0</v>
      </c>
      <c r="T30" s="130">
        <f>SUM(T6:T29)</f>
        <v>1300000</v>
      </c>
      <c r="U30" s="130">
        <f>SUM(U6:U29)</f>
        <v>300000</v>
      </c>
      <c r="V30" s="130">
        <f>SUM(V6:V29)</f>
        <v>500000</v>
      </c>
      <c r="W30" s="130">
        <f>SUM(W6:W29)</f>
        <v>0</v>
      </c>
      <c r="X30" s="130">
        <f>SUM(X6:X29)</f>
        <v>770391.73806794267</v>
      </c>
      <c r="Y30" s="130">
        <f>SUM(Y6:Y29)</f>
        <v>3403221.5299762036</v>
      </c>
      <c r="Z30" s="130">
        <f>SUM(Z6:Z29)</f>
        <v>0</v>
      </c>
      <c r="AA30" s="130">
        <f>SUM(AA6:AA29)</f>
        <v>-93780</v>
      </c>
      <c r="AB30" s="130">
        <f>SUM(P30:AA31)</f>
        <v>33716220.758253582</v>
      </c>
      <c r="AC30" s="46" t="e">
        <f>SUM(#REF!+#REF!+#REF!+#REF!+#REF!+#REF!+#REF!+#REF!+#REF!+#REF!+#REF!+#REF!+#REF!+#REF!+AC6+AC8+AC10+AC12+AC14+AC16+AC18+AC22+AC24+AC26+AC28+AC20)</f>
        <v>#REF!</v>
      </c>
      <c r="AD30" s="46" t="e">
        <f>SUM(#REF!+#REF!+#REF!+#REF!+#REF!+#REF!+#REF!+#REF!+#REF!+#REF!+#REF!+#REF!+#REF!+#REF!+AD6+AD8+AD10+AD12+AD14+AD16+AD18+AD22+AD24+AD26+AD28+AD20)</f>
        <v>#REF!</v>
      </c>
      <c r="AE30" s="46" t="e">
        <f>SUM(#REF!+#REF!+#REF!+#REF!+#REF!+#REF!+#REF!+#REF!+#REF!+#REF!+#REF!+#REF!+#REF!+#REF!+AE6+AE8+AE10+AE12+AE14+AE16+AE18+AE22+AE24+AE26+AE28+AE20)</f>
        <v>#REF!</v>
      </c>
      <c r="AF30" s="46" t="e">
        <f>SUM(#REF!+#REF!+#REF!+#REF!+#REF!+#REF!+#REF!+#REF!+#REF!+#REF!+#REF!+#REF!+#REF!+#REF!+AF6+AF8+AF10+AF12+AF14+AF16+AF18+AF22+AF24+AF26+AF28+AF20)</f>
        <v>#REF!</v>
      </c>
      <c r="AG30" s="46" t="e">
        <f>SUM(#REF!+#REF!+#REF!+#REF!+#REF!+#REF!+#REF!+#REF!+#REF!+#REF!+#REF!+#REF!+#REF!+#REF!+AG6+AG8+AG10+AG12+AG14+AG16+AG18+AG22+AG24+AG26+AG28+AG20)</f>
        <v>#REF!</v>
      </c>
      <c r="AH30" s="46" t="e">
        <f>SUM(#REF!+#REF!+#REF!+#REF!+#REF!+#REF!+#REF!+#REF!+#REF!+#REF!+#REF!+#REF!+#REF!+#REF!+AH6+AH8+AH10+AH12+AH14+AH16+AH18+AH22+AH24+AH26+AH28+AH20)</f>
        <v>#REF!</v>
      </c>
      <c r="AI30" s="46" t="e">
        <f>SUM(#REF!+#REF!+#REF!+#REF!+#REF!+#REF!+#REF!+#REF!+#REF!+#REF!+#REF!+#REF!+#REF!+#REF!+AI6+AI8+AI10+AI12+AI14+AI16+AI18+AI22+AI24+AI26+AI28+AI20)</f>
        <v>#REF!</v>
      </c>
      <c r="AJ30" s="46" t="e">
        <f>SUM(#REF!+#REF!+#REF!+#REF!+#REF!+#REF!+#REF!+#REF!+#REF!+#REF!+#REF!+#REF!+#REF!+#REF!+AJ6+AJ8+AJ10+AJ12+AJ14+AJ16+AJ18+AJ22+AJ24+AJ26+AJ28+AJ20)</f>
        <v>#REF!</v>
      </c>
    </row>
    <row r="31" spans="1:37" ht="14.25" thickBot="1" x14ac:dyDescent="0.25">
      <c r="A31" s="135"/>
      <c r="B31" s="136"/>
      <c r="C31" s="136"/>
      <c r="D31" s="136"/>
      <c r="E31" s="136"/>
      <c r="F31" s="137"/>
      <c r="G31" s="131"/>
      <c r="H31" s="48"/>
      <c r="I31" s="48"/>
      <c r="J31" s="48"/>
      <c r="K31" s="48"/>
      <c r="L31" s="48"/>
      <c r="M31" s="48"/>
      <c r="N31" s="48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46" t="e">
        <f>SUM(#REF!+#REF!+#REF!+#REF!+#REF!+#REF!+#REF!+#REF!+#REF!+#REF!+#REF!+#REF!+#REF!+#REF!+AC7+AC9+AC11+AC13+AC15+AC17+AC19+AC23+AC25+AC27+AC29+AC21)</f>
        <v>#REF!</v>
      </c>
      <c r="AD31" s="46" t="e">
        <f>SUM(#REF!+#REF!+#REF!+#REF!+#REF!+#REF!+#REF!+#REF!+#REF!+#REF!+#REF!+#REF!+#REF!+#REF!+AD7+AD9+AD11+AD13+AD15+AD17+AD19+AD23+AD25+AD27+AD29+AD21)</f>
        <v>#REF!</v>
      </c>
      <c r="AE31" s="46" t="e">
        <f>SUM(#REF!+#REF!+#REF!+#REF!+#REF!+#REF!+#REF!+#REF!+#REF!+#REF!+#REF!+#REF!+#REF!+#REF!+AE7+AE9+AE11+AE13+AE15+AE17+AE19+AE23+AE25+AE27+AE29+AE21)</f>
        <v>#REF!</v>
      </c>
      <c r="AF31" s="46" t="e">
        <f>SUM(#REF!+#REF!+#REF!+#REF!+#REF!+#REF!+#REF!+#REF!+#REF!+#REF!+#REF!+#REF!+#REF!+#REF!+AF7+AF9+AF11+AF13+AF15+AF17+AF19+AF23+AF25+AF27+AF29+AF21)</f>
        <v>#REF!</v>
      </c>
      <c r="AG31" s="46" t="e">
        <f>SUM(#REF!+#REF!+#REF!+#REF!+#REF!+#REF!+#REF!+#REF!+#REF!+#REF!+#REF!+#REF!+#REF!+#REF!+AG7+AG9+AG11+AG13+AG15+AG17+AG19+AG23+AG25+AG27+AG29+AG21)</f>
        <v>#REF!</v>
      </c>
      <c r="AH31" s="46" t="e">
        <f>SUM(#REF!+#REF!+#REF!+#REF!+#REF!+#REF!+#REF!+#REF!+#REF!+#REF!+#REF!+#REF!+#REF!+#REF!+AH7+AH9+AH11+AH13+AH15+AH17+AH19+AH23+AH25+AH27+AH29+AH21)</f>
        <v>#REF!</v>
      </c>
      <c r="AI31" s="46" t="e">
        <f>SUM(#REF!+#REF!+#REF!+#REF!+#REF!+#REF!+#REF!+#REF!+#REF!+#REF!+#REF!+#REF!+#REF!+#REF!+AI7+AI9+AI11+AI13+AI15+AI17+AI19+AI23+AI25+AI27+AI29+AI21)</f>
        <v>#REF!</v>
      </c>
      <c r="AJ31" s="46" t="e">
        <f>SUM(#REF!+#REF!+#REF!+#REF!+#REF!+#REF!+#REF!+#REF!+#REF!+#REF!+#REF!+#REF!+#REF!+#REF!+AJ7+AJ9+AJ11+AJ13+AJ15+AJ17+AJ19+AJ23+AJ25+AJ27+AJ29+AJ21)</f>
        <v>#REF!</v>
      </c>
    </row>
    <row r="32" spans="1:37" ht="16.5" x14ac:dyDescent="0.3">
      <c r="G32" s="30"/>
      <c r="AH32" s="1" t="s">
        <v>74</v>
      </c>
    </row>
    <row r="33" spans="5:7" ht="13.5" x14ac:dyDescent="0.25">
      <c r="E33" s="100" t="s">
        <v>115</v>
      </c>
      <c r="F33" s="101">
        <v>3850000</v>
      </c>
      <c r="G33" s="100" t="s">
        <v>116</v>
      </c>
    </row>
  </sheetData>
  <mergeCells count="48"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X30:X31"/>
    <mergeCell ref="R30:R31"/>
    <mergeCell ref="A26:A27"/>
    <mergeCell ref="B26:B27"/>
    <mergeCell ref="A28:A29"/>
    <mergeCell ref="B28:B29"/>
    <mergeCell ref="A30:F31"/>
    <mergeCell ref="G30:G31"/>
    <mergeCell ref="O30:O31"/>
    <mergeCell ref="P30:P31"/>
    <mergeCell ref="Q30:Q31"/>
    <mergeCell ref="A18:A19"/>
    <mergeCell ref="B18:B19"/>
    <mergeCell ref="A22:A23"/>
    <mergeCell ref="B22:B23"/>
    <mergeCell ref="A24:A25"/>
    <mergeCell ref="B24:B25"/>
    <mergeCell ref="A20:A21"/>
    <mergeCell ref="B20:B21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  <mergeCell ref="A1:V2"/>
    <mergeCell ref="A3:A4"/>
    <mergeCell ref="B3:F3"/>
    <mergeCell ref="G3:N3"/>
    <mergeCell ref="O3:AB3"/>
    <mergeCell ref="AC3:AJ3"/>
    <mergeCell ref="T5:W5"/>
    <mergeCell ref="X5:Z5"/>
  </mergeCells>
  <phoneticPr fontId="5" type="noConversion"/>
  <conditionalFormatting sqref="K32:N32">
    <cfRule type="cellIs" dxfId="0" priority="1" stopIfTrue="1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26.4월기준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라우열</cp:lastModifiedBy>
  <cp:lastPrinted>2024-12-02T04:29:25Z</cp:lastPrinted>
  <dcterms:created xsi:type="dcterms:W3CDTF">2023-04-12T01:48:45Z</dcterms:created>
  <dcterms:modified xsi:type="dcterms:W3CDTF">2026-06-03T06:40:48Z</dcterms:modified>
</cp:coreProperties>
</file>